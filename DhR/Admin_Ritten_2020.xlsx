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CopilotWS\DhR\"/>
    </mc:Choice>
  </mc:AlternateContent>
  <xr:revisionPtr revIDLastSave="0" documentId="13_ncr:1_{420B319E-6D25-439D-9248-21717BDDB691}" xr6:coauthVersionLast="47" xr6:coauthVersionMax="47" xr10:uidLastSave="{00000000-0000-0000-0000-000000000000}"/>
  <bookViews>
    <workbookView xWindow="5400" yWindow="345" windowWidth="20865" windowHeight="17400" activeTab="2" xr2:uid="{14020164-8EB3-4A60-A928-687E3FA447D5}"/>
  </bookViews>
  <sheets>
    <sheet name="Maandsamenvatting" sheetId="2" r:id="rId1"/>
    <sheet name="Rittenplanning" sheetId="1" r:id="rId2"/>
    <sheet name="Priv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2" l="1"/>
  <c r="B14" i="2"/>
  <c r="C14" i="2" s="1"/>
  <c r="D13" i="2"/>
  <c r="B13" i="2"/>
  <c r="C13" i="2" s="1"/>
  <c r="D12" i="2"/>
  <c r="B12" i="2"/>
  <c r="C12" i="2" s="1"/>
  <c r="D11" i="2"/>
  <c r="B11" i="2"/>
  <c r="C11" i="2" s="1"/>
  <c r="D10" i="2"/>
  <c r="B10" i="2"/>
  <c r="C10" i="2" s="1"/>
  <c r="D9" i="2"/>
  <c r="B9" i="2"/>
  <c r="C9" i="2" s="1"/>
  <c r="D8" i="2"/>
  <c r="B8" i="2"/>
  <c r="C8" i="2" s="1"/>
  <c r="D7" i="2"/>
  <c r="C7" i="2"/>
  <c r="B7" i="2"/>
  <c r="D6" i="2"/>
  <c r="B6" i="2"/>
  <c r="C6" i="2" s="1"/>
  <c r="D5" i="2"/>
  <c r="B5" i="2"/>
  <c r="C5" i="2" s="1"/>
  <c r="D4" i="2"/>
  <c r="B4" i="2"/>
  <c r="C4" i="2" s="1"/>
  <c r="D3" i="2"/>
  <c r="B3" i="2"/>
  <c r="D208" i="1"/>
  <c r="D210" i="1" s="1"/>
  <c r="B208" i="1"/>
  <c r="J24" i="2"/>
  <c r="J22" i="2"/>
  <c r="J21" i="2"/>
  <c r="J10" i="2"/>
  <c r="J11" i="2" s="1"/>
  <c r="J6" i="2"/>
  <c r="J7" i="2" s="1"/>
  <c r="J8" i="2" s="1"/>
  <c r="K11" i="2"/>
  <c r="K7" i="2"/>
  <c r="K8" i="2" s="1"/>
  <c r="G14" i="2"/>
  <c r="F14" i="2"/>
  <c r="G13" i="2"/>
  <c r="F13" i="2"/>
  <c r="G12" i="2"/>
  <c r="F12" i="2"/>
  <c r="G11" i="2"/>
  <c r="F11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G2" i="2"/>
  <c r="F2" i="2"/>
  <c r="C9" i="3"/>
  <c r="C14" i="3" s="1"/>
  <c r="B14" i="3"/>
  <c r="B16" i="2" l="1"/>
  <c r="C3" i="2"/>
  <c r="C16" i="2" s="1"/>
  <c r="B20" i="2" s="1"/>
  <c r="D16" i="2"/>
  <c r="B22" i="2" s="1"/>
  <c r="B24" i="2" s="1"/>
  <c r="F16" i="2"/>
  <c r="J25" i="2"/>
  <c r="G10" i="2"/>
  <c r="G16" i="2" s="1"/>
  <c r="B25" i="2" l="1"/>
  <c r="J19" i="2" l="1"/>
  <c r="J27" i="2" s="1"/>
  <c r="J13" i="2" s="1"/>
  <c r="J15" i="2" s="1"/>
  <c r="J16" i="2" s="1"/>
</calcChain>
</file>

<file path=xl/sharedStrings.xml><?xml version="1.0" encoding="utf-8"?>
<sst xmlns="http://schemas.openxmlformats.org/spreadsheetml/2006/main" count="69" uniqueCount="64">
  <si>
    <t>Plandatum</t>
  </si>
  <si>
    <t>Uren gepland</t>
  </si>
  <si>
    <t>Km per uur</t>
  </si>
  <si>
    <t>Kilometers</t>
  </si>
  <si>
    <t>Totaal</t>
  </si>
  <si>
    <t>Maand</t>
  </si>
  <si>
    <t>Inkomsten rijschool</t>
  </si>
  <si>
    <t>Uurtarief</t>
  </si>
  <si>
    <t>januari 2020</t>
  </si>
  <si>
    <t>februari 2020</t>
  </si>
  <si>
    <t>maart 2020</t>
  </si>
  <si>
    <t>april 2020</t>
  </si>
  <si>
    <t>mei 2020</t>
  </si>
  <si>
    <t>juni 2020</t>
  </si>
  <si>
    <t>juli 2020</t>
  </si>
  <si>
    <t>augustus 2020</t>
  </si>
  <si>
    <t>september 2020</t>
  </si>
  <si>
    <t>oktober 2020</t>
  </si>
  <si>
    <t>november 2020</t>
  </si>
  <si>
    <t>december 2020</t>
  </si>
  <si>
    <t>Verlies- en winstrekening</t>
  </si>
  <si>
    <t>Inkomsten - Rijschool</t>
  </si>
  <si>
    <t>Kosten - Rijschool</t>
  </si>
  <si>
    <t>Kosten - km</t>
  </si>
  <si>
    <t>Kosten - Internet/Mobiel</t>
  </si>
  <si>
    <t>Totale kosten</t>
  </si>
  <si>
    <t>Resultaat</t>
  </si>
  <si>
    <t>SVB -PGB Ramasray</t>
  </si>
  <si>
    <t>januari</t>
  </si>
  <si>
    <t>februari</t>
  </si>
  <si>
    <t>maart</t>
  </si>
  <si>
    <t>april</t>
  </si>
  <si>
    <t>juni</t>
  </si>
  <si>
    <t>juli</t>
  </si>
  <si>
    <t>augustus</t>
  </si>
  <si>
    <t>september</t>
  </si>
  <si>
    <t>oktober</t>
  </si>
  <si>
    <t>november</t>
  </si>
  <si>
    <t>december</t>
  </si>
  <si>
    <t>mei</t>
  </si>
  <si>
    <t>zakelijk</t>
  </si>
  <si>
    <t>Prive</t>
  </si>
  <si>
    <t>2020</t>
  </si>
  <si>
    <t>ACTIVA</t>
  </si>
  <si>
    <t>VASTE ACTIVA</t>
  </si>
  <si>
    <t>Langlopende schulden</t>
  </si>
  <si>
    <t>PASSIVA</t>
  </si>
  <si>
    <t>Kortlopende schulden</t>
  </si>
  <si>
    <t>TOTAAL</t>
  </si>
  <si>
    <t>VLOTTENDE ACTIVA</t>
  </si>
  <si>
    <t>Kas/bank</t>
  </si>
  <si>
    <t>cumm</t>
  </si>
  <si>
    <t>Eigen vermogen</t>
  </si>
  <si>
    <t>te ontvangen Belastingen</t>
  </si>
  <si>
    <t>afschrijvingen</t>
  </si>
  <si>
    <t>Inventaris (incl computer ed)</t>
  </si>
  <si>
    <t>boekwaarde</t>
  </si>
  <si>
    <t>LIQUIDE MIDDELEN</t>
  </si>
  <si>
    <t>Te Betalen Belastingen</t>
  </si>
  <si>
    <t>BALANS 2020</t>
  </si>
  <si>
    <t>priveonttrekkingen</t>
  </si>
  <si>
    <t>Km-vergoeding</t>
  </si>
  <si>
    <t>Jaar 2020</t>
  </si>
  <si>
    <t>ELQ hyp 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</si>
</sst>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8" tint="-0.499984740745262"/>
      <name val="Arial"/>
      <family val="2"/>
    </font>
    <font>
      <sz val="10"/>
      <color theme="6" tint="0.7999816888943144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2" fontId="0" fillId="0" borderId="0" xfId="0" applyNumberFormat="1"/>
    <xf numFmtId="14" fontId="1" fillId="0" borderId="0" xfId="0" applyNumberFormat="1" applyFont="1"/>
    <xf numFmtId="2" fontId="1" fillId="0" borderId="0" xfId="0" applyNumberFormat="1" applyFont="1"/>
    <xf numFmtId="49" fontId="0" fillId="0" borderId="0" xfId="0" applyNumberFormat="1"/>
    <xf numFmtId="49" fontId="1" fillId="0" borderId="0" xfId="0" applyNumberFormat="1" applyFont="1"/>
    <xf numFmtId="0" fontId="1" fillId="0" borderId="1" xfId="0" applyFont="1" applyBorder="1"/>
    <xf numFmtId="17" fontId="0" fillId="0" borderId="0" xfId="0" applyNumberFormat="1"/>
    <xf numFmtId="0" fontId="2" fillId="2" borderId="2" xfId="0" applyFont="1" applyFill="1" applyBorder="1"/>
    <xf numFmtId="2" fontId="2" fillId="2" borderId="2" xfId="0" applyNumberFormat="1" applyFont="1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3" fillId="8" borderId="0" xfId="0" applyFont="1" applyFill="1"/>
    <xf numFmtId="0" fontId="0" fillId="8" borderId="0" xfId="0" applyFill="1"/>
    <xf numFmtId="2" fontId="0" fillId="0" borderId="0" xfId="0" applyNumberForma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/>
    <xf numFmtId="2" fontId="1" fillId="0" borderId="0" xfId="0" applyNumberFormat="1" applyFont="1" applyAlignment="1"/>
    <xf numFmtId="0" fontId="1" fillId="0" borderId="0" xfId="0" applyFont="1" applyAlignment="1"/>
    <xf numFmtId="2" fontId="1" fillId="10" borderId="0" xfId="0" applyNumberFormat="1" applyFont="1" applyFill="1" applyAlignment="1"/>
    <xf numFmtId="15" fontId="0" fillId="0" borderId="0" xfId="0" applyNumberFormat="1"/>
    <xf numFmtId="15" fontId="1" fillId="3" borderId="0" xfId="0" applyNumberFormat="1" applyFont="1" applyFill="1"/>
    <xf numFmtId="0" fontId="1" fillId="4" borderId="0" xfId="0" applyFont="1" applyFill="1"/>
    <xf numFmtId="0" fontId="1" fillId="7" borderId="0" xfId="0" applyFont="1" applyFill="1"/>
    <xf numFmtId="2" fontId="0" fillId="7" borderId="0" xfId="0" applyNumberFormat="1" applyFill="1"/>
    <xf numFmtId="0" fontId="1" fillId="7" borderId="2" xfId="0" applyFont="1" applyFill="1" applyBorder="1"/>
    <xf numFmtId="2" fontId="1" fillId="7" borderId="2" xfId="0" applyNumberFormat="1" applyFont="1" applyFill="1" applyBorder="1"/>
    <xf numFmtId="0" fontId="1" fillId="4" borderId="2" xfId="0" applyFont="1" applyFill="1" applyBorder="1"/>
    <xf numFmtId="2" fontId="1" fillId="4" borderId="2" xfId="0" applyNumberFormat="1" applyFont="1" applyFill="1" applyBorder="1"/>
    <xf numFmtId="2" fontId="0" fillId="0" borderId="1" xfId="0" applyNumberFormat="1" applyBorder="1"/>
    <xf numFmtId="2" fontId="1" fillId="9" borderId="0" xfId="0" applyNumberFormat="1" applyFont="1" applyFill="1" applyAlignment="1">
      <alignment horizontal="center"/>
    </xf>
    <xf numFmtId="0" fontId="1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0B277-F2D2-4473-8E26-909A18C51103}">
  <dimension ref="A1:K27"/>
  <sheetViews>
    <sheetView workbookViewId="0">
      <selection activeCell="L17" sqref="L17"/>
    </sheetView>
  </sheetViews>
  <sheetFormatPr defaultRowHeight="12.75" x14ac:dyDescent="0.2"/>
  <cols>
    <col min="1" max="1" width="21" style="5" bestFit="1" customWidth="1"/>
    <col min="2" max="2" width="12.7109375" style="2" customWidth="1"/>
    <col min="3" max="3" width="18.85546875" style="2" bestFit="1" customWidth="1"/>
    <col min="4" max="4" width="10.7109375" style="2" bestFit="1" customWidth="1"/>
    <col min="5" max="5" width="8.85546875" style="2" bestFit="1" customWidth="1"/>
    <col min="6" max="6" width="9.7109375" customWidth="1"/>
    <col min="7" max="7" width="19.85546875" customWidth="1"/>
    <col min="8" max="8" width="9.42578125" bestFit="1" customWidth="1"/>
    <col min="9" max="9" width="24.5703125" bestFit="1" customWidth="1"/>
    <col min="10" max="11" width="9.42578125" bestFit="1" customWidth="1"/>
  </cols>
  <sheetData>
    <row r="1" spans="1:11" x14ac:dyDescent="0.2">
      <c r="A1" s="19" t="s">
        <v>42</v>
      </c>
      <c r="B1" s="34" t="s">
        <v>40</v>
      </c>
      <c r="C1" s="34"/>
      <c r="D1" s="34"/>
      <c r="E1" s="34"/>
      <c r="F1" s="35" t="s">
        <v>41</v>
      </c>
      <c r="G1" s="35"/>
      <c r="H1" s="24"/>
      <c r="I1" s="25" t="s">
        <v>59</v>
      </c>
      <c r="J1" s="25">
        <v>44196</v>
      </c>
      <c r="K1" s="25">
        <v>43830</v>
      </c>
    </row>
    <row r="2" spans="1:11" x14ac:dyDescent="0.2">
      <c r="A2" s="20" t="s">
        <v>5</v>
      </c>
      <c r="B2" s="21" t="s">
        <v>1</v>
      </c>
      <c r="C2" s="21" t="s">
        <v>6</v>
      </c>
      <c r="D2" s="21" t="s">
        <v>3</v>
      </c>
      <c r="E2" s="21" t="s">
        <v>7</v>
      </c>
      <c r="F2" s="22" t="str">
        <f>IF(Prive!B1="","",Prive!B1)</f>
        <v>ELQ hyp rente</v>
      </c>
      <c r="G2" s="22" t="str">
        <f>IF(Prive!C1="","",Prive!C1)</f>
        <v>SVB -PGB Ramasray</v>
      </c>
    </row>
    <row r="3" spans="1:11" x14ac:dyDescent="0.2">
      <c r="A3" s="5" t="s">
        <v>8</v>
      </c>
      <c r="B3" s="18">
        <f>SUMIFS(Rittenplanning!$B:$B,Rittenplanning!$A:$A,"&gt;="&amp;DATE(2020,1,1),Rittenplanning!$A:$A,"&lt;"&amp;DATE(2020,2,1))</f>
        <v>72</v>
      </c>
      <c r="C3" s="18">
        <f t="shared" ref="C3:C14" si="0">B3*E3</f>
        <v>2340</v>
      </c>
      <c r="D3" s="18">
        <f>SUMIFS(Rittenplanning!$D:$D,Rittenplanning!$A:$A,"&gt;="&amp;DATE(2020,1,1),Rittenplanning!$A:$A,"&lt;"&amp;DATE(2020,2,1))</f>
        <v>1928.1600000000003</v>
      </c>
      <c r="E3" s="2">
        <v>32.5</v>
      </c>
      <c r="F3" s="18">
        <f>IF(Prive!B2="","",Prive!B2)</f>
        <v>913.58</v>
      </c>
      <c r="G3" s="18" t="str">
        <f>IF(Prive!C2="","",Prive!C2)</f>
        <v/>
      </c>
      <c r="I3" s="26" t="s">
        <v>43</v>
      </c>
      <c r="J3" s="12"/>
      <c r="K3" s="12"/>
    </row>
    <row r="4" spans="1:11" x14ac:dyDescent="0.2">
      <c r="A4" s="5" t="s">
        <v>9</v>
      </c>
      <c r="B4" s="18">
        <f>SUMIFS(Rittenplanning!$B:$B,Rittenplanning!$A:$A,"&gt;="&amp;DATE(2020,2,1),Rittenplanning!$A:$A,"&lt;"&amp;DATE(2020,3,1))</f>
        <v>74</v>
      </c>
      <c r="C4" s="18">
        <f t="shared" si="0"/>
        <v>2405</v>
      </c>
      <c r="D4" s="18">
        <f>SUMIFS(Rittenplanning!$D:$D,Rittenplanning!$A:$A,"&gt;="&amp;DATE(2020,2,1),Rittenplanning!$A:$A,"&lt;"&amp;DATE(2020,3,1))</f>
        <v>1914.3799999999997</v>
      </c>
      <c r="E4" s="2">
        <v>32.5</v>
      </c>
      <c r="F4" s="18">
        <f>IF(Prive!B3="","",Prive!B3)</f>
        <v>915.57</v>
      </c>
      <c r="G4" s="18" t="str">
        <f>IF(Prive!C3="","",Prive!C3)</f>
        <v/>
      </c>
      <c r="I4" t="s">
        <v>44</v>
      </c>
    </row>
    <row r="5" spans="1:11" x14ac:dyDescent="0.2">
      <c r="A5" s="5" t="s">
        <v>10</v>
      </c>
      <c r="B5" s="18">
        <f>SUMIFS(Rittenplanning!$B:$B,Rittenplanning!$A:$A,"&gt;="&amp;DATE(2020,3,1),Rittenplanning!$A:$A,"&lt;"&amp;DATE(2020,4,1))</f>
        <v>76</v>
      </c>
      <c r="C5" s="18">
        <f t="shared" si="0"/>
        <v>2470</v>
      </c>
      <c r="D5" s="18">
        <f>SUMIFS(Rittenplanning!$D:$D,Rittenplanning!$A:$A,"&gt;="&amp;DATE(2020,3,1),Rittenplanning!$A:$A,"&lt;"&amp;DATE(2020,4,1))</f>
        <v>2007.9199999999998</v>
      </c>
      <c r="E5" s="2">
        <v>32.5</v>
      </c>
      <c r="F5" s="18">
        <f>IF(Prive!B4="","",Prive!B4)</f>
        <v>761.6</v>
      </c>
      <c r="G5" s="18" t="str">
        <f>IF(Prive!C4="","",Prive!C4)</f>
        <v/>
      </c>
      <c r="I5" t="s">
        <v>55</v>
      </c>
      <c r="J5" s="18">
        <v>500</v>
      </c>
      <c r="K5" s="18">
        <v>700</v>
      </c>
    </row>
    <row r="6" spans="1:11" x14ac:dyDescent="0.2">
      <c r="A6" s="5" t="s">
        <v>11</v>
      </c>
      <c r="B6" s="18">
        <f>SUMIFS(Rittenplanning!$B:$B,Rittenplanning!$A:$A,"&gt;="&amp;DATE(2020,4,1),Rittenplanning!$A:$A,"&lt;"&amp;DATE(2020,5,1))</f>
        <v>78</v>
      </c>
      <c r="C6" s="18">
        <f t="shared" si="0"/>
        <v>2535</v>
      </c>
      <c r="D6" s="18">
        <f>SUMIFS(Rittenplanning!$D:$D,Rittenplanning!$A:$A,"&gt;="&amp;DATE(2020,4,1),Rittenplanning!$A:$A,"&lt;"&amp;DATE(2020,5,1))</f>
        <v>2098.2000000000003</v>
      </c>
      <c r="E6" s="2">
        <v>32.5</v>
      </c>
      <c r="F6" s="18">
        <f>IF(Prive!B5="","",Prive!B5)</f>
        <v>759.62</v>
      </c>
      <c r="G6" s="18" t="str">
        <f>IF(Prive!C5="","",Prive!C5)</f>
        <v/>
      </c>
      <c r="I6" t="s">
        <v>54</v>
      </c>
      <c r="J6" s="18">
        <f>K6</f>
        <v>200</v>
      </c>
      <c r="K6" s="18">
        <v>200</v>
      </c>
    </row>
    <row r="7" spans="1:11" x14ac:dyDescent="0.2">
      <c r="A7" s="5" t="s">
        <v>12</v>
      </c>
      <c r="B7" s="18">
        <f>SUMIFS(Rittenplanning!$B:$B,Rittenplanning!$A:$A,"&gt;="&amp;DATE(2020,5,1),Rittenplanning!$A:$A,"&lt;"&amp;DATE(2020,6,1))</f>
        <v>80</v>
      </c>
      <c r="C7" s="18">
        <f t="shared" si="0"/>
        <v>2600</v>
      </c>
      <c r="D7" s="18">
        <f>SUMIFS(Rittenplanning!$D:$D,Rittenplanning!$A:$A,"&gt;="&amp;DATE(2020,5,1),Rittenplanning!$A:$A,"&lt;"&amp;DATE(2020,6,1))</f>
        <v>2214.3999999999996</v>
      </c>
      <c r="E7" s="2">
        <v>32.5</v>
      </c>
      <c r="F7" s="18">
        <f>IF(Prive!B6="","",Prive!B6)</f>
        <v>765.57</v>
      </c>
      <c r="G7" s="18" t="str">
        <f>IF(Prive!C6="","",Prive!C6)</f>
        <v/>
      </c>
      <c r="I7" t="s">
        <v>56</v>
      </c>
      <c r="J7" s="33">
        <f>J5-J6</f>
        <v>300</v>
      </c>
      <c r="K7" s="33">
        <f>K5-K6</f>
        <v>500</v>
      </c>
    </row>
    <row r="8" spans="1:11" x14ac:dyDescent="0.2">
      <c r="A8" s="5" t="s">
        <v>13</v>
      </c>
      <c r="B8" s="18">
        <f>SUMIFS(Rittenplanning!$B:$B,Rittenplanning!$A:$A,"&gt;="&amp;DATE(2020,6,1),Rittenplanning!$A:$A,"&lt;"&amp;DATE(2020,7,1))</f>
        <v>77</v>
      </c>
      <c r="C8" s="18">
        <f t="shared" si="0"/>
        <v>2502.5</v>
      </c>
      <c r="D8" s="18">
        <f>SUMIFS(Rittenplanning!$D:$D,Rittenplanning!$A:$A,"&gt;="&amp;DATE(2020,6,1),Rittenplanning!$A:$A,"&lt;"&amp;DATE(2020,7,1))</f>
        <v>2018.94</v>
      </c>
      <c r="E8" s="2">
        <v>32.5</v>
      </c>
      <c r="F8" s="18">
        <f>IF(Prive!B7="","",Prive!B7)</f>
        <v>918.53</v>
      </c>
      <c r="G8" s="18" t="str">
        <f>IF(Prive!C7="","",Prive!C7)</f>
        <v/>
      </c>
      <c r="J8" s="18">
        <f>J7</f>
        <v>300</v>
      </c>
      <c r="K8" s="18">
        <f>K7</f>
        <v>500</v>
      </c>
    </row>
    <row r="9" spans="1:11" x14ac:dyDescent="0.2">
      <c r="A9" s="5" t="s">
        <v>14</v>
      </c>
      <c r="B9" s="18">
        <f>SUMIFS(Rittenplanning!$B:$B,Rittenplanning!$A:$A,"&gt;="&amp;DATE(2020,7,1),Rittenplanning!$A:$A,"&lt;"&amp;DATE(2020,8,1))</f>
        <v>82</v>
      </c>
      <c r="C9" s="18">
        <f t="shared" si="0"/>
        <v>2665</v>
      </c>
      <c r="D9" s="18">
        <f>SUMIFS(Rittenplanning!$D:$D,Rittenplanning!$A:$A,"&gt;="&amp;DATE(2020,7,1),Rittenplanning!$A:$A,"&lt;"&amp;DATE(2020,8,1))</f>
        <v>2269.7600000000002</v>
      </c>
      <c r="E9" s="2">
        <v>32.5</v>
      </c>
      <c r="F9" s="18">
        <f>IF(Prive!B8="","",Prive!B8)</f>
        <v>909.62</v>
      </c>
      <c r="G9" s="18" t="str">
        <f>IF(Prive!C8="","",Prive!C8)</f>
        <v/>
      </c>
      <c r="I9" t="s">
        <v>49</v>
      </c>
      <c r="J9" s="18"/>
      <c r="K9" s="18"/>
    </row>
    <row r="10" spans="1:11" x14ac:dyDescent="0.2">
      <c r="A10" s="5" t="s">
        <v>15</v>
      </c>
      <c r="B10" s="18">
        <f>SUMIFS(Rittenplanning!$B:$B,Rittenplanning!$A:$A,"&gt;="&amp;DATE(2020,8,1),Rittenplanning!$A:$A,"&lt;"&amp;DATE(2020,9,1))</f>
        <v>70</v>
      </c>
      <c r="C10" s="18">
        <f t="shared" si="0"/>
        <v>2275</v>
      </c>
      <c r="D10" s="18">
        <f>SUMIFS(Rittenplanning!$D:$D,Rittenplanning!$A:$A,"&gt;="&amp;DATE(2020,8,1),Rittenplanning!$A:$A,"&lt;"&amp;DATE(2020,9,1))</f>
        <v>1854.3000000000004</v>
      </c>
      <c r="E10" s="2">
        <v>32.5</v>
      </c>
      <c r="F10" s="18">
        <f>IF(Prive!B9="","",Prive!B9)</f>
        <v>903.67</v>
      </c>
      <c r="G10" s="18">
        <f>IF(Prive!C9="","",Prive!C9)</f>
        <v>6124.92</v>
      </c>
      <c r="I10" t="s">
        <v>53</v>
      </c>
      <c r="J10" s="33">
        <f>K10</f>
        <v>817</v>
      </c>
      <c r="K10" s="33">
        <v>817</v>
      </c>
    </row>
    <row r="11" spans="1:11" x14ac:dyDescent="0.2">
      <c r="A11" s="5" t="s">
        <v>16</v>
      </c>
      <c r="B11" s="18">
        <f>SUMIFS(Rittenplanning!$B:$B,Rittenplanning!$A:$A,"&gt;="&amp;DATE(2020,9,1),Rittenplanning!$A:$A,"&lt;"&amp;DATE(2020,10,1))</f>
        <v>76</v>
      </c>
      <c r="C11" s="18">
        <f t="shared" si="0"/>
        <v>2470</v>
      </c>
      <c r="D11" s="18">
        <f>SUMIFS(Rittenplanning!$D:$D,Rittenplanning!$A:$A,"&gt;="&amp;DATE(2020,9,1),Rittenplanning!$A:$A,"&lt;"&amp;DATE(2020,10,1))</f>
        <v>2005.6399999999999</v>
      </c>
      <c r="E11" s="2">
        <v>32.5</v>
      </c>
      <c r="F11" s="18">
        <f>IF(Prive!B10="","",Prive!B10)</f>
        <v>901.68</v>
      </c>
      <c r="G11" s="18">
        <f>IF(Prive!C10="","",Prive!C10)</f>
        <v>768.21</v>
      </c>
      <c r="J11" s="18">
        <f>J10</f>
        <v>817</v>
      </c>
      <c r="K11" s="18">
        <f>K10</f>
        <v>817</v>
      </c>
    </row>
    <row r="12" spans="1:11" x14ac:dyDescent="0.2">
      <c r="A12" s="5" t="s">
        <v>17</v>
      </c>
      <c r="B12" s="18">
        <f>SUMIFS(Rittenplanning!$B:$B,Rittenplanning!$A:$A,"&gt;="&amp;DATE(2020,10,1),Rittenplanning!$A:$A,"&lt;"&amp;DATE(2020,11,1))</f>
        <v>82</v>
      </c>
      <c r="C12" s="18">
        <f t="shared" si="0"/>
        <v>2665</v>
      </c>
      <c r="D12" s="18">
        <f>SUMIFS(Rittenplanning!$D:$D,Rittenplanning!$A:$A,"&gt;="&amp;DATE(2020,10,1),Rittenplanning!$A:$A,"&lt;"&amp;DATE(2020,11,1))</f>
        <v>2177.1000000000004</v>
      </c>
      <c r="E12" s="2">
        <v>32.5</v>
      </c>
      <c r="F12" s="18">
        <f>IF(Prive!B11="","",Prive!B11)</f>
        <v>901.68</v>
      </c>
      <c r="G12" s="18">
        <f>IF(Prive!C11="","",Prive!C11)</f>
        <v>768.21</v>
      </c>
      <c r="I12" t="s">
        <v>57</v>
      </c>
      <c r="J12" s="18"/>
      <c r="K12" s="18"/>
    </row>
    <row r="13" spans="1:11" x14ac:dyDescent="0.2">
      <c r="A13" s="5" t="s">
        <v>18</v>
      </c>
      <c r="B13" s="18">
        <f>SUMIFS(Rittenplanning!$B:$B,Rittenplanning!$A:$A,"&gt;="&amp;DATE(2020,11,1),Rittenplanning!$A:$A,"&lt;"&amp;DATE(2020,12,1))</f>
        <v>78</v>
      </c>
      <c r="C13" s="18">
        <f t="shared" si="0"/>
        <v>2535</v>
      </c>
      <c r="D13" s="18">
        <f>SUMIFS(Rittenplanning!$D:$D,Rittenplanning!$A:$A,"&gt;="&amp;DATE(2020,11,1),Rittenplanning!$A:$A,"&lt;"&amp;DATE(2020,12,1))</f>
        <v>2119.2599999999998</v>
      </c>
      <c r="E13" s="2">
        <v>32.5</v>
      </c>
      <c r="F13" s="18">
        <f>IF(Prive!B12="","",Prive!B12)</f>
        <v>899.7</v>
      </c>
      <c r="G13" s="18">
        <f>IF(Prive!C12="","",Prive!C12)</f>
        <v>634.27</v>
      </c>
      <c r="I13" t="s">
        <v>50</v>
      </c>
      <c r="J13" s="18">
        <f>J27-J8-J11-J14</f>
        <v>27190.9048</v>
      </c>
      <c r="K13">
        <v>30735.5298</v>
      </c>
    </row>
    <row r="14" spans="1:11" x14ac:dyDescent="0.2">
      <c r="A14" s="5" t="s">
        <v>19</v>
      </c>
      <c r="B14" s="18">
        <f>SUMIFS(Rittenplanning!$B:$B,Rittenplanning!$A:$A,"&gt;="&amp;DATE(2020,12,1),Rittenplanning!$A:$A,"&lt;"&amp;DATE(2021,1,1))</f>
        <v>79</v>
      </c>
      <c r="C14" s="18">
        <f t="shared" si="0"/>
        <v>2567.5</v>
      </c>
      <c r="D14" s="18">
        <f>SUMIFS(Rittenplanning!$D:$D,Rittenplanning!$A:$A,"&gt;="&amp;DATE(2020,12,1),Rittenplanning!$A:$A,"&lt;"&amp;DATE(2021,1,1))</f>
        <v>2082.44</v>
      </c>
      <c r="E14" s="2">
        <v>32.5</v>
      </c>
      <c r="F14" s="18">
        <f>IF(Prive!B13="","",Prive!B13)</f>
        <v>780.14</v>
      </c>
      <c r="G14" s="18">
        <f>IF(Prive!C13="","",Prive!C13)</f>
        <v>733.8</v>
      </c>
      <c r="I14" t="s">
        <v>60</v>
      </c>
      <c r="J14" s="18">
        <v>-21400</v>
      </c>
      <c r="K14">
        <v>-26500</v>
      </c>
    </row>
    <row r="15" spans="1:11" x14ac:dyDescent="0.2">
      <c r="B15" s="18"/>
      <c r="C15" s="18"/>
      <c r="D15" s="18"/>
      <c r="F15" s="18"/>
      <c r="G15" s="18"/>
      <c r="J15" s="18">
        <f>SUM(J13:J14)</f>
        <v>5790.9048000000003</v>
      </c>
      <c r="K15">
        <v>4235.5298000000003</v>
      </c>
    </row>
    <row r="16" spans="1:11" x14ac:dyDescent="0.2">
      <c r="A16" s="5" t="s">
        <v>4</v>
      </c>
      <c r="B16" s="18">
        <f>SUM(B3:B14)</f>
        <v>924</v>
      </c>
      <c r="C16" s="18">
        <f>SUM(C3:C14)</f>
        <v>30030</v>
      </c>
      <c r="D16" s="18">
        <f>SUM(D3:D14)</f>
        <v>24690.5</v>
      </c>
      <c r="E16" s="2">
        <v>32.5</v>
      </c>
      <c r="F16" s="23">
        <f>IF(COUNT(F3:F14)=0,"",SUM(F3:F14))</f>
        <v>10330.959999999999</v>
      </c>
      <c r="G16" s="23">
        <f>IF(COUNT(G3:G14)=0,"",SUM(G3:G14))</f>
        <v>9029.41</v>
      </c>
      <c r="I16" s="31" t="s">
        <v>48</v>
      </c>
      <c r="J16" s="32">
        <f>SUM(J8,J11,J15)</f>
        <v>6907.9048000000003</v>
      </c>
      <c r="K16" s="31">
        <v>5552.5298000000003</v>
      </c>
    </row>
    <row r="17" spans="1:11" x14ac:dyDescent="0.2">
      <c r="B17" s="18"/>
      <c r="C17" s="18"/>
      <c r="D17" s="18"/>
      <c r="J17" s="18"/>
      <c r="K17" s="18"/>
    </row>
    <row r="18" spans="1:11" x14ac:dyDescent="0.2">
      <c r="B18" s="18"/>
      <c r="C18" s="18"/>
      <c r="D18" s="18"/>
      <c r="I18" s="27" t="s">
        <v>46</v>
      </c>
      <c r="J18" s="28"/>
      <c r="K18" s="28"/>
    </row>
    <row r="19" spans="1:11" x14ac:dyDescent="0.2">
      <c r="A19" s="6" t="s">
        <v>20</v>
      </c>
      <c r="B19" s="18"/>
      <c r="C19" s="18"/>
      <c r="D19" s="18"/>
      <c r="I19" t="s">
        <v>52</v>
      </c>
      <c r="J19" s="18">
        <f>K19+$B25+J14</f>
        <v>6907.9048000000003</v>
      </c>
      <c r="K19">
        <v>5552.5298000000003</v>
      </c>
    </row>
    <row r="20" spans="1:11" x14ac:dyDescent="0.2">
      <c r="A20" s="2" t="s">
        <v>21</v>
      </c>
      <c r="B20" s="18">
        <f>C16</f>
        <v>30030</v>
      </c>
      <c r="C20" s="18"/>
      <c r="D20" s="18"/>
      <c r="J20" s="18"/>
    </row>
    <row r="21" spans="1:11" x14ac:dyDescent="0.2">
      <c r="A21" s="2" t="s">
        <v>22</v>
      </c>
      <c r="B21" s="18">
        <v>1533.38</v>
      </c>
      <c r="C21" s="18"/>
      <c r="D21" s="18"/>
      <c r="I21" t="s">
        <v>45</v>
      </c>
      <c r="J21" s="18">
        <f>K21</f>
        <v>0</v>
      </c>
    </row>
    <row r="22" spans="1:11" x14ac:dyDescent="0.2">
      <c r="A22" s="2" t="s">
        <v>23</v>
      </c>
      <c r="B22" s="18">
        <f>D16*0.23</f>
        <v>5678.8150000000005</v>
      </c>
      <c r="C22" s="18"/>
      <c r="D22" s="18"/>
      <c r="I22" t="s">
        <v>47</v>
      </c>
      <c r="J22" s="18">
        <f>K22</f>
        <v>0</v>
      </c>
      <c r="K22">
        <v>0</v>
      </c>
    </row>
    <row r="23" spans="1:11" x14ac:dyDescent="0.2">
      <c r="A23" s="2" t="s">
        <v>24</v>
      </c>
      <c r="B23" s="18">
        <v>62.43</v>
      </c>
      <c r="C23" s="18"/>
      <c r="D23" s="18"/>
      <c r="J23" s="18"/>
    </row>
    <row r="24" spans="1:11" x14ac:dyDescent="0.2">
      <c r="A24" s="4" t="s">
        <v>25</v>
      </c>
      <c r="B24" s="4">
        <f>SUM(B21:B23)</f>
        <v>7274.6250000000009</v>
      </c>
      <c r="C24" s="18"/>
      <c r="D24" s="18"/>
      <c r="I24" t="s">
        <v>58</v>
      </c>
      <c r="J24" s="18">
        <f>K24</f>
        <v>0</v>
      </c>
      <c r="K24">
        <v>0</v>
      </c>
    </row>
    <row r="25" spans="1:11" x14ac:dyDescent="0.2">
      <c r="A25" s="4" t="s">
        <v>26</v>
      </c>
      <c r="B25" s="4">
        <f>B20-B24</f>
        <v>22755.375</v>
      </c>
      <c r="C25" s="18"/>
      <c r="D25" s="18"/>
      <c r="I25" t="s">
        <v>51</v>
      </c>
      <c r="J25" s="18">
        <f>SUM(J22:J24)</f>
        <v>0</v>
      </c>
      <c r="K25">
        <v>0</v>
      </c>
    </row>
    <row r="26" spans="1:11" x14ac:dyDescent="0.2">
      <c r="J26" s="18"/>
    </row>
    <row r="27" spans="1:11" x14ac:dyDescent="0.2">
      <c r="I27" s="29" t="s">
        <v>48</v>
      </c>
      <c r="J27" s="30">
        <f>SUM(J19,J21:J25)</f>
        <v>6907.9048000000003</v>
      </c>
      <c r="K27" s="29">
        <v>5552.5298000000003</v>
      </c>
    </row>
  </sheetData>
  <mergeCells count="2">
    <mergeCell ref="B1:E1"/>
    <mergeCell ref="F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54884-485D-42D7-B4B8-937C45E443EA}">
  <dimension ref="A1:D210"/>
  <sheetViews>
    <sheetView workbookViewId="0">
      <selection activeCell="L44" sqref="L44"/>
    </sheetView>
  </sheetViews>
  <sheetFormatPr defaultRowHeight="12.75" x14ac:dyDescent="0.2"/>
  <cols>
    <col min="1" max="1" width="14.7109375" style="1" customWidth="1"/>
    <col min="2" max="2" width="11.85546875" style="2" bestFit="1" customWidth="1"/>
    <col min="3" max="3" width="10.140625" style="2" bestFit="1" customWidth="1"/>
    <col min="4" max="4" width="9.85546875" style="2" bestFit="1" customWidth="1"/>
  </cols>
  <sheetData>
    <row r="1" spans="1:4" x14ac:dyDescent="0.2">
      <c r="A1" s="3" t="s">
        <v>0</v>
      </c>
      <c r="B1" s="4" t="s">
        <v>1</v>
      </c>
      <c r="C1" s="4" t="s">
        <v>2</v>
      </c>
      <c r="D1" s="4" t="s">
        <v>3</v>
      </c>
    </row>
    <row r="2" spans="1:4" x14ac:dyDescent="0.2">
      <c r="A2" s="1">
        <v>43831</v>
      </c>
      <c r="B2" s="18">
        <v>4</v>
      </c>
      <c r="C2" s="18">
        <v>26.78</v>
      </c>
      <c r="D2" s="18">
        <v>107.12</v>
      </c>
    </row>
    <row r="3" spans="1:4" x14ac:dyDescent="0.2">
      <c r="A3" s="1">
        <v>43832</v>
      </c>
      <c r="B3" s="18">
        <v>5</v>
      </c>
      <c r="C3" s="18">
        <v>26.78</v>
      </c>
      <c r="D3" s="18">
        <v>133.9</v>
      </c>
    </row>
    <row r="4" spans="1:4" x14ac:dyDescent="0.2">
      <c r="A4" s="1">
        <v>43833</v>
      </c>
      <c r="B4" s="18">
        <v>3</v>
      </c>
      <c r="C4" s="18">
        <v>26.78</v>
      </c>
      <c r="D4" s="18">
        <v>80.34</v>
      </c>
    </row>
    <row r="5" spans="1:4" x14ac:dyDescent="0.2">
      <c r="A5" s="1">
        <v>43836</v>
      </c>
      <c r="B5" s="18">
        <v>6</v>
      </c>
      <c r="C5" s="18">
        <v>26.78</v>
      </c>
      <c r="D5" s="18">
        <v>160.68</v>
      </c>
    </row>
    <row r="6" spans="1:4" x14ac:dyDescent="0.2">
      <c r="A6" s="1">
        <v>43837</v>
      </c>
      <c r="B6" s="18">
        <v>4</v>
      </c>
      <c r="C6" s="18">
        <v>26.78</v>
      </c>
      <c r="D6" s="18">
        <v>107.12</v>
      </c>
    </row>
    <row r="7" spans="1:4" x14ac:dyDescent="0.2">
      <c r="A7" s="1">
        <v>43838</v>
      </c>
      <c r="B7" s="18">
        <v>5</v>
      </c>
      <c r="C7" s="18">
        <v>26.78</v>
      </c>
      <c r="D7" s="18">
        <v>133.9</v>
      </c>
    </row>
    <row r="8" spans="1:4" x14ac:dyDescent="0.2">
      <c r="A8" s="1">
        <v>43839</v>
      </c>
      <c r="B8" s="18">
        <v>3</v>
      </c>
      <c r="C8" s="18">
        <v>26.78</v>
      </c>
      <c r="D8" s="18">
        <v>80.34</v>
      </c>
    </row>
    <row r="9" spans="1:4" x14ac:dyDescent="0.2">
      <c r="A9" s="1">
        <v>43840</v>
      </c>
      <c r="B9" s="18">
        <v>6</v>
      </c>
      <c r="C9" s="18">
        <v>26.78</v>
      </c>
      <c r="D9" s="18">
        <v>160.68</v>
      </c>
    </row>
    <row r="10" spans="1:4" x14ac:dyDescent="0.2">
      <c r="A10" s="1">
        <v>43843</v>
      </c>
      <c r="B10" s="18">
        <v>4</v>
      </c>
      <c r="C10" s="18">
        <v>26.78</v>
      </c>
      <c r="D10" s="18">
        <v>107.12</v>
      </c>
    </row>
    <row r="11" spans="1:4" x14ac:dyDescent="0.2">
      <c r="A11" s="1">
        <v>43844</v>
      </c>
      <c r="B11" s="18">
        <v>5</v>
      </c>
      <c r="C11" s="18">
        <v>26.78</v>
      </c>
      <c r="D11" s="18">
        <v>133.9</v>
      </c>
    </row>
    <row r="12" spans="1:4" x14ac:dyDescent="0.2">
      <c r="A12" s="1">
        <v>43845</v>
      </c>
      <c r="B12" s="18">
        <v>3</v>
      </c>
      <c r="C12" s="18">
        <v>26.78</v>
      </c>
      <c r="D12" s="18">
        <v>80.34</v>
      </c>
    </row>
    <row r="13" spans="1:4" x14ac:dyDescent="0.2">
      <c r="A13" s="1">
        <v>43846</v>
      </c>
      <c r="B13" s="18">
        <v>6</v>
      </c>
      <c r="C13" s="18">
        <v>26.78</v>
      </c>
      <c r="D13" s="18">
        <v>160.68</v>
      </c>
    </row>
    <row r="14" spans="1:4" x14ac:dyDescent="0.2">
      <c r="A14" s="1">
        <v>43847</v>
      </c>
      <c r="B14" s="18">
        <v>4</v>
      </c>
      <c r="C14" s="18">
        <v>26.78</v>
      </c>
      <c r="D14" s="18">
        <v>107.12</v>
      </c>
    </row>
    <row r="15" spans="1:4" x14ac:dyDescent="0.2">
      <c r="A15" s="1">
        <v>43850</v>
      </c>
      <c r="B15" s="18">
        <v>5</v>
      </c>
      <c r="C15" s="18">
        <v>26.78</v>
      </c>
      <c r="D15" s="18">
        <v>133.9</v>
      </c>
    </row>
    <row r="16" spans="1:4" x14ac:dyDescent="0.2">
      <c r="A16" s="1">
        <v>43851</v>
      </c>
      <c r="B16" s="18">
        <v>3</v>
      </c>
      <c r="C16" s="18">
        <v>26.78</v>
      </c>
      <c r="D16" s="18">
        <v>80.34</v>
      </c>
    </row>
    <row r="17" spans="1:4" x14ac:dyDescent="0.2">
      <c r="A17" s="1">
        <v>43852</v>
      </c>
      <c r="B17" s="18">
        <v>6</v>
      </c>
      <c r="C17" s="18">
        <v>26.78</v>
      </c>
      <c r="D17" s="18">
        <v>160.68</v>
      </c>
    </row>
    <row r="18" spans="1:4" x14ac:dyDescent="0.2">
      <c r="A18" s="1">
        <v>43864</v>
      </c>
      <c r="B18" s="18">
        <v>5</v>
      </c>
      <c r="C18" s="18">
        <v>25.87</v>
      </c>
      <c r="D18" s="18">
        <v>129.35</v>
      </c>
    </row>
    <row r="19" spans="1:4" x14ac:dyDescent="0.2">
      <c r="A19" s="1">
        <v>43865</v>
      </c>
      <c r="B19" s="18">
        <v>6</v>
      </c>
      <c r="C19" s="18">
        <v>25.87</v>
      </c>
      <c r="D19" s="18">
        <v>155.22</v>
      </c>
    </row>
    <row r="20" spans="1:4" x14ac:dyDescent="0.2">
      <c r="A20" s="1">
        <v>43866</v>
      </c>
      <c r="B20" s="18">
        <v>3</v>
      </c>
      <c r="C20" s="18">
        <v>25.87</v>
      </c>
      <c r="D20" s="18">
        <v>77.61</v>
      </c>
    </row>
    <row r="21" spans="1:4" x14ac:dyDescent="0.2">
      <c r="A21" s="1">
        <v>43867</v>
      </c>
      <c r="B21" s="18">
        <v>6</v>
      </c>
      <c r="C21" s="18">
        <v>25.87</v>
      </c>
      <c r="D21" s="18">
        <v>155.22</v>
      </c>
    </row>
    <row r="22" spans="1:4" x14ac:dyDescent="0.2">
      <c r="A22" s="1">
        <v>43868</v>
      </c>
      <c r="B22" s="18">
        <v>4</v>
      </c>
      <c r="C22" s="18">
        <v>25.87</v>
      </c>
      <c r="D22" s="18">
        <v>103.48</v>
      </c>
    </row>
    <row r="23" spans="1:4" x14ac:dyDescent="0.2">
      <c r="A23" s="1">
        <v>43871</v>
      </c>
      <c r="B23" s="18">
        <v>5</v>
      </c>
      <c r="C23" s="18">
        <v>25.87</v>
      </c>
      <c r="D23" s="18">
        <v>129.35</v>
      </c>
    </row>
    <row r="24" spans="1:4" x14ac:dyDescent="0.2">
      <c r="A24" s="1">
        <v>43872</v>
      </c>
      <c r="B24" s="18">
        <v>3</v>
      </c>
      <c r="C24" s="18">
        <v>25.87</v>
      </c>
      <c r="D24" s="18">
        <v>77.61</v>
      </c>
    </row>
    <row r="25" spans="1:4" x14ac:dyDescent="0.2">
      <c r="A25" s="1">
        <v>43873</v>
      </c>
      <c r="B25" s="18">
        <v>6</v>
      </c>
      <c r="C25" s="18">
        <v>25.87</v>
      </c>
      <c r="D25" s="18">
        <v>155.22</v>
      </c>
    </row>
    <row r="26" spans="1:4" x14ac:dyDescent="0.2">
      <c r="A26" s="1">
        <v>43874</v>
      </c>
      <c r="B26" s="18">
        <v>4</v>
      </c>
      <c r="C26" s="18">
        <v>25.87</v>
      </c>
      <c r="D26" s="18">
        <v>103.48</v>
      </c>
    </row>
    <row r="27" spans="1:4" x14ac:dyDescent="0.2">
      <c r="A27" s="1">
        <v>43875</v>
      </c>
      <c r="B27" s="18">
        <v>5</v>
      </c>
      <c r="C27" s="18">
        <v>25.87</v>
      </c>
      <c r="D27" s="18">
        <v>129.35</v>
      </c>
    </row>
    <row r="28" spans="1:4" x14ac:dyDescent="0.2">
      <c r="A28" s="1">
        <v>43878</v>
      </c>
      <c r="B28" s="18">
        <v>3</v>
      </c>
      <c r="C28" s="18">
        <v>25.87</v>
      </c>
      <c r="D28" s="18">
        <v>77.61</v>
      </c>
    </row>
    <row r="29" spans="1:4" x14ac:dyDescent="0.2">
      <c r="A29" s="1">
        <v>43879</v>
      </c>
      <c r="B29" s="18">
        <v>6</v>
      </c>
      <c r="C29" s="18">
        <v>25.87</v>
      </c>
      <c r="D29" s="18">
        <v>155.22</v>
      </c>
    </row>
    <row r="30" spans="1:4" x14ac:dyDescent="0.2">
      <c r="A30" s="1">
        <v>43880</v>
      </c>
      <c r="B30" s="18">
        <v>4</v>
      </c>
      <c r="C30" s="18">
        <v>25.87</v>
      </c>
      <c r="D30" s="18">
        <v>103.48</v>
      </c>
    </row>
    <row r="31" spans="1:4" x14ac:dyDescent="0.2">
      <c r="A31" s="1">
        <v>43881</v>
      </c>
      <c r="B31" s="18">
        <v>5</v>
      </c>
      <c r="C31" s="18">
        <v>25.87</v>
      </c>
      <c r="D31" s="18">
        <v>129.35</v>
      </c>
    </row>
    <row r="32" spans="1:4" x14ac:dyDescent="0.2">
      <c r="A32" s="1">
        <v>43882</v>
      </c>
      <c r="B32" s="18">
        <v>3</v>
      </c>
      <c r="C32" s="18">
        <v>25.87</v>
      </c>
      <c r="D32" s="18">
        <v>77.61</v>
      </c>
    </row>
    <row r="33" spans="1:4" x14ac:dyDescent="0.2">
      <c r="A33" s="1">
        <v>43885</v>
      </c>
      <c r="B33" s="18">
        <v>6</v>
      </c>
      <c r="C33" s="18">
        <v>25.87</v>
      </c>
      <c r="D33" s="18">
        <v>155.22</v>
      </c>
    </row>
    <row r="34" spans="1:4" x14ac:dyDescent="0.2">
      <c r="A34" s="1">
        <v>43892</v>
      </c>
      <c r="B34" s="18">
        <v>4</v>
      </c>
      <c r="C34" s="18">
        <v>26.42</v>
      </c>
      <c r="D34" s="18">
        <v>105.68</v>
      </c>
    </row>
    <row r="35" spans="1:4" x14ac:dyDescent="0.2">
      <c r="A35" s="1">
        <v>43893</v>
      </c>
      <c r="B35" s="18">
        <v>5</v>
      </c>
      <c r="C35" s="18">
        <v>26.42</v>
      </c>
      <c r="D35" s="18">
        <v>132.1</v>
      </c>
    </row>
    <row r="36" spans="1:4" x14ac:dyDescent="0.2">
      <c r="A36" s="1">
        <v>43894</v>
      </c>
      <c r="B36" s="18">
        <v>3</v>
      </c>
      <c r="C36" s="18">
        <v>26.42</v>
      </c>
      <c r="D36" s="18">
        <v>79.260000000000005</v>
      </c>
    </row>
    <row r="37" spans="1:4" x14ac:dyDescent="0.2">
      <c r="A37" s="1">
        <v>43895</v>
      </c>
      <c r="B37" s="18">
        <v>6</v>
      </c>
      <c r="C37" s="18">
        <v>26.42</v>
      </c>
      <c r="D37" s="18">
        <v>158.52000000000001</v>
      </c>
    </row>
    <row r="38" spans="1:4" x14ac:dyDescent="0.2">
      <c r="A38" s="1">
        <v>43896</v>
      </c>
      <c r="B38" s="18">
        <v>4</v>
      </c>
      <c r="C38" s="18">
        <v>26.42</v>
      </c>
      <c r="D38" s="18">
        <v>105.68</v>
      </c>
    </row>
    <row r="39" spans="1:4" x14ac:dyDescent="0.2">
      <c r="A39" s="1">
        <v>43899</v>
      </c>
      <c r="B39" s="18">
        <v>5</v>
      </c>
      <c r="C39" s="18">
        <v>26.42</v>
      </c>
      <c r="D39" s="18">
        <v>132.1</v>
      </c>
    </row>
    <row r="40" spans="1:4" x14ac:dyDescent="0.2">
      <c r="A40" s="1">
        <v>43900</v>
      </c>
      <c r="B40" s="18">
        <v>3</v>
      </c>
      <c r="C40" s="18">
        <v>26.42</v>
      </c>
      <c r="D40" s="18">
        <v>79.260000000000005</v>
      </c>
    </row>
    <row r="41" spans="1:4" x14ac:dyDescent="0.2">
      <c r="A41" s="1">
        <v>43901</v>
      </c>
      <c r="B41" s="18">
        <v>6</v>
      </c>
      <c r="C41" s="18">
        <v>26.42</v>
      </c>
      <c r="D41" s="18">
        <v>158.52000000000001</v>
      </c>
    </row>
    <row r="42" spans="1:4" x14ac:dyDescent="0.2">
      <c r="A42" s="1">
        <v>43902</v>
      </c>
      <c r="B42" s="18">
        <v>4</v>
      </c>
      <c r="C42" s="18">
        <v>26.42</v>
      </c>
      <c r="D42" s="18">
        <v>105.68</v>
      </c>
    </row>
    <row r="43" spans="1:4" x14ac:dyDescent="0.2">
      <c r="A43" s="1">
        <v>43903</v>
      </c>
      <c r="B43" s="18">
        <v>5</v>
      </c>
      <c r="C43" s="18">
        <v>26.42</v>
      </c>
      <c r="D43" s="18">
        <v>132.1</v>
      </c>
    </row>
    <row r="44" spans="1:4" x14ac:dyDescent="0.2">
      <c r="A44" s="1">
        <v>43906</v>
      </c>
      <c r="B44" s="18">
        <v>3</v>
      </c>
      <c r="C44" s="18">
        <v>26.42</v>
      </c>
      <c r="D44" s="18">
        <v>79.260000000000005</v>
      </c>
    </row>
    <row r="45" spans="1:4" x14ac:dyDescent="0.2">
      <c r="A45" s="1">
        <v>43907</v>
      </c>
      <c r="B45" s="18">
        <v>6</v>
      </c>
      <c r="C45" s="18">
        <v>26.42</v>
      </c>
      <c r="D45" s="18">
        <v>158.52000000000001</v>
      </c>
    </row>
    <row r="46" spans="1:4" x14ac:dyDescent="0.2">
      <c r="A46" s="1">
        <v>43908</v>
      </c>
      <c r="B46" s="18">
        <v>4</v>
      </c>
      <c r="C46" s="18">
        <v>26.42</v>
      </c>
      <c r="D46" s="18">
        <v>105.68</v>
      </c>
    </row>
    <row r="47" spans="1:4" x14ac:dyDescent="0.2">
      <c r="A47" s="1">
        <v>43909</v>
      </c>
      <c r="B47" s="18">
        <v>5</v>
      </c>
      <c r="C47" s="18">
        <v>26.42</v>
      </c>
      <c r="D47" s="18">
        <v>132.1</v>
      </c>
    </row>
    <row r="48" spans="1:4" x14ac:dyDescent="0.2">
      <c r="A48" s="1">
        <v>43910</v>
      </c>
      <c r="B48" s="18">
        <v>3</v>
      </c>
      <c r="C48" s="18">
        <v>26.42</v>
      </c>
      <c r="D48" s="18">
        <v>79.260000000000005</v>
      </c>
    </row>
    <row r="49" spans="1:4" x14ac:dyDescent="0.2">
      <c r="A49" s="1">
        <v>43913</v>
      </c>
      <c r="B49" s="18">
        <v>6</v>
      </c>
      <c r="C49" s="18">
        <v>26.42</v>
      </c>
      <c r="D49" s="18">
        <v>158.52000000000001</v>
      </c>
    </row>
    <row r="50" spans="1:4" x14ac:dyDescent="0.2">
      <c r="A50" s="1">
        <v>43914</v>
      </c>
      <c r="B50" s="18">
        <v>4</v>
      </c>
      <c r="C50" s="18">
        <v>26.42</v>
      </c>
      <c r="D50" s="18">
        <v>105.68</v>
      </c>
    </row>
    <row r="51" spans="1:4" x14ac:dyDescent="0.2">
      <c r="A51" s="1">
        <v>43922</v>
      </c>
      <c r="B51" s="18">
        <v>5</v>
      </c>
      <c r="C51" s="18">
        <v>26.9</v>
      </c>
      <c r="D51" s="18">
        <v>134.5</v>
      </c>
    </row>
    <row r="52" spans="1:4" x14ac:dyDescent="0.2">
      <c r="A52" s="1">
        <v>43923</v>
      </c>
      <c r="B52" s="18">
        <v>6</v>
      </c>
      <c r="C52" s="18">
        <v>26.9</v>
      </c>
      <c r="D52" s="18">
        <v>161.4</v>
      </c>
    </row>
    <row r="53" spans="1:4" x14ac:dyDescent="0.2">
      <c r="A53" s="1">
        <v>43924</v>
      </c>
      <c r="B53" s="18">
        <v>3</v>
      </c>
      <c r="C53" s="18">
        <v>26.9</v>
      </c>
      <c r="D53" s="18">
        <v>80.7</v>
      </c>
    </row>
    <row r="54" spans="1:4" x14ac:dyDescent="0.2">
      <c r="A54" s="1">
        <v>43927</v>
      </c>
      <c r="B54" s="18">
        <v>6</v>
      </c>
      <c r="C54" s="18">
        <v>26.9</v>
      </c>
      <c r="D54" s="18">
        <v>161.4</v>
      </c>
    </row>
    <row r="55" spans="1:4" x14ac:dyDescent="0.2">
      <c r="A55" s="1">
        <v>43928</v>
      </c>
      <c r="B55" s="18">
        <v>4</v>
      </c>
      <c r="C55" s="18">
        <v>26.9</v>
      </c>
      <c r="D55" s="18">
        <v>107.6</v>
      </c>
    </row>
    <row r="56" spans="1:4" x14ac:dyDescent="0.2">
      <c r="A56" s="1">
        <v>43929</v>
      </c>
      <c r="B56" s="18">
        <v>5</v>
      </c>
      <c r="C56" s="18">
        <v>26.9</v>
      </c>
      <c r="D56" s="18">
        <v>134.5</v>
      </c>
    </row>
    <row r="57" spans="1:4" x14ac:dyDescent="0.2">
      <c r="A57" s="1">
        <v>43930</v>
      </c>
      <c r="B57" s="18">
        <v>3</v>
      </c>
      <c r="C57" s="18">
        <v>26.9</v>
      </c>
      <c r="D57" s="18">
        <v>80.7</v>
      </c>
    </row>
    <row r="58" spans="1:4" x14ac:dyDescent="0.2">
      <c r="A58" s="1">
        <v>43931</v>
      </c>
      <c r="B58" s="18">
        <v>6</v>
      </c>
      <c r="C58" s="18">
        <v>26.9</v>
      </c>
      <c r="D58" s="18">
        <v>161.4</v>
      </c>
    </row>
    <row r="59" spans="1:4" x14ac:dyDescent="0.2">
      <c r="A59" s="1">
        <v>43934</v>
      </c>
      <c r="B59" s="18">
        <v>4</v>
      </c>
      <c r="C59" s="18">
        <v>26.9</v>
      </c>
      <c r="D59" s="18">
        <v>107.6</v>
      </c>
    </row>
    <row r="60" spans="1:4" x14ac:dyDescent="0.2">
      <c r="A60" s="1">
        <v>43935</v>
      </c>
      <c r="B60" s="18">
        <v>5</v>
      </c>
      <c r="C60" s="18">
        <v>26.9</v>
      </c>
      <c r="D60" s="18">
        <v>134.5</v>
      </c>
    </row>
    <row r="61" spans="1:4" x14ac:dyDescent="0.2">
      <c r="A61" s="1">
        <v>43936</v>
      </c>
      <c r="B61" s="18">
        <v>3</v>
      </c>
      <c r="C61" s="18">
        <v>26.9</v>
      </c>
      <c r="D61" s="18">
        <v>80.7</v>
      </c>
    </row>
    <row r="62" spans="1:4" x14ac:dyDescent="0.2">
      <c r="A62" s="1">
        <v>43937</v>
      </c>
      <c r="B62" s="18">
        <v>6</v>
      </c>
      <c r="C62" s="18">
        <v>26.9</v>
      </c>
      <c r="D62" s="18">
        <v>161.4</v>
      </c>
    </row>
    <row r="63" spans="1:4" x14ac:dyDescent="0.2">
      <c r="A63" s="1">
        <v>43938</v>
      </c>
      <c r="B63" s="18">
        <v>4</v>
      </c>
      <c r="C63" s="18">
        <v>26.9</v>
      </c>
      <c r="D63" s="18">
        <v>107.6</v>
      </c>
    </row>
    <row r="64" spans="1:4" x14ac:dyDescent="0.2">
      <c r="A64" s="1">
        <v>43941</v>
      </c>
      <c r="B64" s="18">
        <v>5</v>
      </c>
      <c r="C64" s="18">
        <v>26.9</v>
      </c>
      <c r="D64" s="18">
        <v>134.5</v>
      </c>
    </row>
    <row r="65" spans="1:4" x14ac:dyDescent="0.2">
      <c r="A65" s="1">
        <v>43942</v>
      </c>
      <c r="B65" s="18">
        <v>3</v>
      </c>
      <c r="C65" s="18">
        <v>26.9</v>
      </c>
      <c r="D65" s="18">
        <v>80.7</v>
      </c>
    </row>
    <row r="66" spans="1:4" x14ac:dyDescent="0.2">
      <c r="A66" s="1">
        <v>43943</v>
      </c>
      <c r="B66" s="18">
        <v>6</v>
      </c>
      <c r="C66" s="18">
        <v>26.9</v>
      </c>
      <c r="D66" s="18">
        <v>161.4</v>
      </c>
    </row>
    <row r="67" spans="1:4" x14ac:dyDescent="0.2">
      <c r="A67" s="1">
        <v>43944</v>
      </c>
      <c r="B67" s="18">
        <v>4</v>
      </c>
      <c r="C67" s="18">
        <v>26.9</v>
      </c>
      <c r="D67" s="18">
        <v>107.6</v>
      </c>
    </row>
    <row r="68" spans="1:4" x14ac:dyDescent="0.2">
      <c r="A68" s="1">
        <v>43952</v>
      </c>
      <c r="B68" s="18">
        <v>4</v>
      </c>
      <c r="C68" s="18">
        <v>27.68</v>
      </c>
      <c r="D68" s="18">
        <v>110.72</v>
      </c>
    </row>
    <row r="69" spans="1:4" x14ac:dyDescent="0.2">
      <c r="A69" s="1">
        <v>43955</v>
      </c>
      <c r="B69" s="18">
        <v>5</v>
      </c>
      <c r="C69" s="18">
        <v>27.68</v>
      </c>
      <c r="D69" s="18">
        <v>138.4</v>
      </c>
    </row>
    <row r="70" spans="1:4" x14ac:dyDescent="0.2">
      <c r="A70" s="1">
        <v>43956</v>
      </c>
      <c r="B70" s="18">
        <v>3</v>
      </c>
      <c r="C70" s="18">
        <v>27.68</v>
      </c>
      <c r="D70" s="18">
        <v>83.04</v>
      </c>
    </row>
    <row r="71" spans="1:4" x14ac:dyDescent="0.2">
      <c r="A71" s="1">
        <v>43957</v>
      </c>
      <c r="B71" s="18">
        <v>6</v>
      </c>
      <c r="C71" s="18">
        <v>27.68</v>
      </c>
      <c r="D71" s="18">
        <v>166.08</v>
      </c>
    </row>
    <row r="72" spans="1:4" x14ac:dyDescent="0.2">
      <c r="A72" s="1">
        <v>43958</v>
      </c>
      <c r="B72" s="18">
        <v>4</v>
      </c>
      <c r="C72" s="18">
        <v>27.68</v>
      </c>
      <c r="D72" s="18">
        <v>110.72</v>
      </c>
    </row>
    <row r="73" spans="1:4" x14ac:dyDescent="0.2">
      <c r="A73" s="1">
        <v>43959</v>
      </c>
      <c r="B73" s="18">
        <v>5</v>
      </c>
      <c r="C73" s="18">
        <v>27.68</v>
      </c>
      <c r="D73" s="18">
        <v>138.4</v>
      </c>
    </row>
    <row r="74" spans="1:4" x14ac:dyDescent="0.2">
      <c r="A74" s="1">
        <v>43962</v>
      </c>
      <c r="B74" s="18">
        <v>3</v>
      </c>
      <c r="C74" s="18">
        <v>27.68</v>
      </c>
      <c r="D74" s="18">
        <v>83.04</v>
      </c>
    </row>
    <row r="75" spans="1:4" x14ac:dyDescent="0.2">
      <c r="A75" s="1">
        <v>43963</v>
      </c>
      <c r="B75" s="18">
        <v>6</v>
      </c>
      <c r="C75" s="18">
        <v>27.68</v>
      </c>
      <c r="D75" s="18">
        <v>166.08</v>
      </c>
    </row>
    <row r="76" spans="1:4" x14ac:dyDescent="0.2">
      <c r="A76" s="1">
        <v>43964</v>
      </c>
      <c r="B76" s="18">
        <v>4</v>
      </c>
      <c r="C76" s="18">
        <v>27.68</v>
      </c>
      <c r="D76" s="18">
        <v>110.72</v>
      </c>
    </row>
    <row r="77" spans="1:4" x14ac:dyDescent="0.2">
      <c r="A77" s="1">
        <v>43965</v>
      </c>
      <c r="B77" s="18">
        <v>5</v>
      </c>
      <c r="C77" s="18">
        <v>27.68</v>
      </c>
      <c r="D77" s="18">
        <v>138.4</v>
      </c>
    </row>
    <row r="78" spans="1:4" x14ac:dyDescent="0.2">
      <c r="A78" s="1">
        <v>43966</v>
      </c>
      <c r="B78" s="18">
        <v>3</v>
      </c>
      <c r="C78" s="18">
        <v>27.68</v>
      </c>
      <c r="D78" s="18">
        <v>83.04</v>
      </c>
    </row>
    <row r="79" spans="1:4" x14ac:dyDescent="0.2">
      <c r="A79" s="1">
        <v>43969</v>
      </c>
      <c r="B79" s="18">
        <v>6</v>
      </c>
      <c r="C79" s="18">
        <v>27.68</v>
      </c>
      <c r="D79" s="18">
        <v>166.08</v>
      </c>
    </row>
    <row r="80" spans="1:4" x14ac:dyDescent="0.2">
      <c r="A80" s="1">
        <v>43970</v>
      </c>
      <c r="B80" s="18">
        <v>4</v>
      </c>
      <c r="C80" s="18">
        <v>27.68</v>
      </c>
      <c r="D80" s="18">
        <v>110.72</v>
      </c>
    </row>
    <row r="81" spans="1:4" x14ac:dyDescent="0.2">
      <c r="A81" s="1">
        <v>43971</v>
      </c>
      <c r="B81" s="18">
        <v>5</v>
      </c>
      <c r="C81" s="18">
        <v>27.68</v>
      </c>
      <c r="D81" s="18">
        <v>138.4</v>
      </c>
    </row>
    <row r="82" spans="1:4" x14ac:dyDescent="0.2">
      <c r="A82" s="1">
        <v>43972</v>
      </c>
      <c r="B82" s="18">
        <v>3</v>
      </c>
      <c r="C82" s="18">
        <v>27.68</v>
      </c>
      <c r="D82" s="18">
        <v>83.04</v>
      </c>
    </row>
    <row r="83" spans="1:4" x14ac:dyDescent="0.2">
      <c r="A83" s="1">
        <v>43973</v>
      </c>
      <c r="B83" s="18">
        <v>6</v>
      </c>
      <c r="C83" s="18">
        <v>27.68</v>
      </c>
      <c r="D83" s="18">
        <v>166.08</v>
      </c>
    </row>
    <row r="84" spans="1:4" x14ac:dyDescent="0.2">
      <c r="A84" s="1">
        <v>43976</v>
      </c>
      <c r="B84" s="18">
        <v>4</v>
      </c>
      <c r="C84" s="18">
        <v>27.68</v>
      </c>
      <c r="D84" s="18">
        <v>110.72</v>
      </c>
    </row>
    <row r="85" spans="1:4" x14ac:dyDescent="0.2">
      <c r="A85" s="1">
        <v>43977</v>
      </c>
      <c r="B85" s="18">
        <v>4</v>
      </c>
      <c r="C85" s="18">
        <v>27.68</v>
      </c>
      <c r="D85" s="18">
        <v>110.72</v>
      </c>
    </row>
    <row r="86" spans="1:4" x14ac:dyDescent="0.2">
      <c r="A86" s="1">
        <v>43983</v>
      </c>
      <c r="B86" s="18">
        <v>5</v>
      </c>
      <c r="C86" s="18">
        <v>26.22</v>
      </c>
      <c r="D86" s="18">
        <v>131.1</v>
      </c>
    </row>
    <row r="87" spans="1:4" x14ac:dyDescent="0.2">
      <c r="A87" s="1">
        <v>43984</v>
      </c>
      <c r="B87" s="18">
        <v>5</v>
      </c>
      <c r="C87" s="18">
        <v>26.22</v>
      </c>
      <c r="D87" s="18">
        <v>131.1</v>
      </c>
    </row>
    <row r="88" spans="1:4" x14ac:dyDescent="0.2">
      <c r="A88" s="1">
        <v>43985</v>
      </c>
      <c r="B88" s="18">
        <v>3</v>
      </c>
      <c r="C88" s="18">
        <v>26.22</v>
      </c>
      <c r="D88" s="18">
        <v>78.66</v>
      </c>
    </row>
    <row r="89" spans="1:4" x14ac:dyDescent="0.2">
      <c r="A89" s="1">
        <v>43986</v>
      </c>
      <c r="B89" s="18">
        <v>6</v>
      </c>
      <c r="C89" s="18">
        <v>26.22</v>
      </c>
      <c r="D89" s="18">
        <v>157.32</v>
      </c>
    </row>
    <row r="90" spans="1:4" x14ac:dyDescent="0.2">
      <c r="A90" s="1">
        <v>43987</v>
      </c>
      <c r="B90" s="18">
        <v>4</v>
      </c>
      <c r="C90" s="18">
        <v>26.22</v>
      </c>
      <c r="D90" s="18">
        <v>104.88</v>
      </c>
    </row>
    <row r="91" spans="1:4" x14ac:dyDescent="0.2">
      <c r="A91" s="1">
        <v>43990</v>
      </c>
      <c r="B91" s="18">
        <v>5</v>
      </c>
      <c r="C91" s="18">
        <v>26.22</v>
      </c>
      <c r="D91" s="18">
        <v>131.1</v>
      </c>
    </row>
    <row r="92" spans="1:4" x14ac:dyDescent="0.2">
      <c r="A92" s="1">
        <v>43991</v>
      </c>
      <c r="B92" s="18">
        <v>3</v>
      </c>
      <c r="C92" s="18">
        <v>26.22</v>
      </c>
      <c r="D92" s="18">
        <v>78.66</v>
      </c>
    </row>
    <row r="93" spans="1:4" x14ac:dyDescent="0.2">
      <c r="A93" s="1">
        <v>43992</v>
      </c>
      <c r="B93" s="18">
        <v>6</v>
      </c>
      <c r="C93" s="18">
        <v>26.22</v>
      </c>
      <c r="D93" s="18">
        <v>157.32</v>
      </c>
    </row>
    <row r="94" spans="1:4" x14ac:dyDescent="0.2">
      <c r="A94" s="1">
        <v>43993</v>
      </c>
      <c r="B94" s="18">
        <v>4</v>
      </c>
      <c r="C94" s="18">
        <v>26.22</v>
      </c>
      <c r="D94" s="18">
        <v>104.88</v>
      </c>
    </row>
    <row r="95" spans="1:4" x14ac:dyDescent="0.2">
      <c r="A95" s="1">
        <v>43994</v>
      </c>
      <c r="B95" s="18">
        <v>5</v>
      </c>
      <c r="C95" s="18">
        <v>26.22</v>
      </c>
      <c r="D95" s="18">
        <v>131.1</v>
      </c>
    </row>
    <row r="96" spans="1:4" x14ac:dyDescent="0.2">
      <c r="A96" s="1">
        <v>43997</v>
      </c>
      <c r="B96" s="18">
        <v>3</v>
      </c>
      <c r="C96" s="18">
        <v>26.22</v>
      </c>
      <c r="D96" s="18">
        <v>78.66</v>
      </c>
    </row>
    <row r="97" spans="1:4" x14ac:dyDescent="0.2">
      <c r="A97" s="1">
        <v>43998</v>
      </c>
      <c r="B97" s="18">
        <v>6</v>
      </c>
      <c r="C97" s="18">
        <v>26.22</v>
      </c>
      <c r="D97" s="18">
        <v>157.32</v>
      </c>
    </row>
    <row r="98" spans="1:4" x14ac:dyDescent="0.2">
      <c r="A98" s="1">
        <v>43999</v>
      </c>
      <c r="B98" s="18">
        <v>4</v>
      </c>
      <c r="C98" s="18">
        <v>26.22</v>
      </c>
      <c r="D98" s="18">
        <v>104.88</v>
      </c>
    </row>
    <row r="99" spans="1:4" x14ac:dyDescent="0.2">
      <c r="A99" s="1">
        <v>44000</v>
      </c>
      <c r="B99" s="18">
        <v>5</v>
      </c>
      <c r="C99" s="18">
        <v>26.22</v>
      </c>
      <c r="D99" s="18">
        <v>131.1</v>
      </c>
    </row>
    <row r="100" spans="1:4" x14ac:dyDescent="0.2">
      <c r="A100" s="1">
        <v>44001</v>
      </c>
      <c r="B100" s="18">
        <v>3</v>
      </c>
      <c r="C100" s="18">
        <v>26.22</v>
      </c>
      <c r="D100" s="18">
        <v>78.66</v>
      </c>
    </row>
    <row r="101" spans="1:4" x14ac:dyDescent="0.2">
      <c r="A101" s="1">
        <v>44004</v>
      </c>
      <c r="B101" s="18">
        <v>6</v>
      </c>
      <c r="C101" s="18">
        <v>26.22</v>
      </c>
      <c r="D101" s="18">
        <v>157.32</v>
      </c>
    </row>
    <row r="102" spans="1:4" x14ac:dyDescent="0.2">
      <c r="A102" s="1">
        <v>44005</v>
      </c>
      <c r="B102" s="18">
        <v>4</v>
      </c>
      <c r="C102" s="18">
        <v>26.22</v>
      </c>
      <c r="D102" s="18">
        <v>104.88</v>
      </c>
    </row>
    <row r="103" spans="1:4" x14ac:dyDescent="0.2">
      <c r="A103" s="1">
        <v>44013</v>
      </c>
      <c r="B103" s="18">
        <v>5</v>
      </c>
      <c r="C103" s="18">
        <v>27.68</v>
      </c>
      <c r="D103" s="18">
        <v>138.4</v>
      </c>
    </row>
    <row r="104" spans="1:4" x14ac:dyDescent="0.2">
      <c r="A104" s="1">
        <v>44014</v>
      </c>
      <c r="B104" s="18">
        <v>5</v>
      </c>
      <c r="C104" s="18">
        <v>27.68</v>
      </c>
      <c r="D104" s="18">
        <v>138.4</v>
      </c>
    </row>
    <row r="105" spans="1:4" x14ac:dyDescent="0.2">
      <c r="A105" s="1">
        <v>44015</v>
      </c>
      <c r="B105" s="18">
        <v>3</v>
      </c>
      <c r="C105" s="18">
        <v>27.68</v>
      </c>
      <c r="D105" s="18">
        <v>83.04</v>
      </c>
    </row>
    <row r="106" spans="1:4" x14ac:dyDescent="0.2">
      <c r="A106" s="1">
        <v>44018</v>
      </c>
      <c r="B106" s="18">
        <v>6</v>
      </c>
      <c r="C106" s="18">
        <v>27.68</v>
      </c>
      <c r="D106" s="18">
        <v>166.08</v>
      </c>
    </row>
    <row r="107" spans="1:4" x14ac:dyDescent="0.2">
      <c r="A107" s="1">
        <v>44019</v>
      </c>
      <c r="B107" s="18">
        <v>4</v>
      </c>
      <c r="C107" s="18">
        <v>27.68</v>
      </c>
      <c r="D107" s="18">
        <v>110.72</v>
      </c>
    </row>
    <row r="108" spans="1:4" x14ac:dyDescent="0.2">
      <c r="A108" s="1">
        <v>44020</v>
      </c>
      <c r="B108" s="18">
        <v>5</v>
      </c>
      <c r="C108" s="18">
        <v>27.68</v>
      </c>
      <c r="D108" s="18">
        <v>138.4</v>
      </c>
    </row>
    <row r="109" spans="1:4" x14ac:dyDescent="0.2">
      <c r="A109" s="1">
        <v>44021</v>
      </c>
      <c r="B109" s="18">
        <v>3</v>
      </c>
      <c r="C109" s="18">
        <v>27.68</v>
      </c>
      <c r="D109" s="18">
        <v>83.04</v>
      </c>
    </row>
    <row r="110" spans="1:4" x14ac:dyDescent="0.2">
      <c r="A110" s="1">
        <v>44022</v>
      </c>
      <c r="B110" s="18">
        <v>6</v>
      </c>
      <c r="C110" s="18">
        <v>27.68</v>
      </c>
      <c r="D110" s="18">
        <v>166.08</v>
      </c>
    </row>
    <row r="111" spans="1:4" x14ac:dyDescent="0.2">
      <c r="A111" s="1">
        <v>44025</v>
      </c>
      <c r="B111" s="18">
        <v>4</v>
      </c>
      <c r="C111" s="18">
        <v>27.68</v>
      </c>
      <c r="D111" s="18">
        <v>110.72</v>
      </c>
    </row>
    <row r="112" spans="1:4" x14ac:dyDescent="0.2">
      <c r="A112" s="1">
        <v>44026</v>
      </c>
      <c r="B112" s="18">
        <v>5</v>
      </c>
      <c r="C112" s="18">
        <v>27.68</v>
      </c>
      <c r="D112" s="18">
        <v>138.4</v>
      </c>
    </row>
    <row r="113" spans="1:4" x14ac:dyDescent="0.2">
      <c r="A113" s="1">
        <v>44027</v>
      </c>
      <c r="B113" s="18">
        <v>3</v>
      </c>
      <c r="C113" s="18">
        <v>27.68</v>
      </c>
      <c r="D113" s="18">
        <v>83.04</v>
      </c>
    </row>
    <row r="114" spans="1:4" x14ac:dyDescent="0.2">
      <c r="A114" s="1">
        <v>44028</v>
      </c>
      <c r="B114" s="18">
        <v>6</v>
      </c>
      <c r="C114" s="18">
        <v>27.68</v>
      </c>
      <c r="D114" s="18">
        <v>166.08</v>
      </c>
    </row>
    <row r="115" spans="1:4" x14ac:dyDescent="0.2">
      <c r="A115" s="1">
        <v>44029</v>
      </c>
      <c r="B115" s="18">
        <v>4</v>
      </c>
      <c r="C115" s="18">
        <v>27.68</v>
      </c>
      <c r="D115" s="18">
        <v>110.72</v>
      </c>
    </row>
    <row r="116" spans="1:4" x14ac:dyDescent="0.2">
      <c r="A116" s="1">
        <v>44032</v>
      </c>
      <c r="B116" s="18">
        <v>5</v>
      </c>
      <c r="C116" s="18">
        <v>27.68</v>
      </c>
      <c r="D116" s="18">
        <v>138.4</v>
      </c>
    </row>
    <row r="117" spans="1:4" x14ac:dyDescent="0.2">
      <c r="A117" s="1">
        <v>44033</v>
      </c>
      <c r="B117" s="18">
        <v>3</v>
      </c>
      <c r="C117" s="18">
        <v>27.68</v>
      </c>
      <c r="D117" s="18">
        <v>83.04</v>
      </c>
    </row>
    <row r="118" spans="1:4" x14ac:dyDescent="0.2">
      <c r="A118" s="1">
        <v>44034</v>
      </c>
      <c r="B118" s="18">
        <v>6</v>
      </c>
      <c r="C118" s="18">
        <v>27.68</v>
      </c>
      <c r="D118" s="18">
        <v>166.08</v>
      </c>
    </row>
    <row r="119" spans="1:4" x14ac:dyDescent="0.2">
      <c r="A119" s="1">
        <v>44035</v>
      </c>
      <c r="B119" s="18">
        <v>4</v>
      </c>
      <c r="C119" s="18">
        <v>27.68</v>
      </c>
      <c r="D119" s="18">
        <v>110.72</v>
      </c>
    </row>
    <row r="120" spans="1:4" x14ac:dyDescent="0.2">
      <c r="A120" s="1">
        <v>44036</v>
      </c>
      <c r="B120" s="18">
        <v>5</v>
      </c>
      <c r="C120" s="18">
        <v>27.68</v>
      </c>
      <c r="D120" s="18">
        <v>138.4</v>
      </c>
    </row>
    <row r="121" spans="1:4" x14ac:dyDescent="0.2">
      <c r="A121" s="1">
        <v>44046</v>
      </c>
      <c r="B121" s="18">
        <v>4</v>
      </c>
      <c r="C121" s="18">
        <v>26.49</v>
      </c>
      <c r="D121" s="18">
        <v>105.96</v>
      </c>
    </row>
    <row r="122" spans="1:4" x14ac:dyDescent="0.2">
      <c r="A122" s="1">
        <v>44047</v>
      </c>
      <c r="B122" s="18">
        <v>5</v>
      </c>
      <c r="C122" s="18">
        <v>26.49</v>
      </c>
      <c r="D122" s="18">
        <v>132.44999999999999</v>
      </c>
    </row>
    <row r="123" spans="1:4" x14ac:dyDescent="0.2">
      <c r="A123" s="1">
        <v>44048</v>
      </c>
      <c r="B123" s="18">
        <v>3</v>
      </c>
      <c r="C123" s="18">
        <v>26.49</v>
      </c>
      <c r="D123" s="18">
        <v>79.47</v>
      </c>
    </row>
    <row r="124" spans="1:4" x14ac:dyDescent="0.2">
      <c r="A124" s="1">
        <v>44049</v>
      </c>
      <c r="B124" s="18">
        <v>6</v>
      </c>
      <c r="C124" s="18">
        <v>26.49</v>
      </c>
      <c r="D124" s="18">
        <v>158.94</v>
      </c>
    </row>
    <row r="125" spans="1:4" x14ac:dyDescent="0.2">
      <c r="A125" s="1">
        <v>44050</v>
      </c>
      <c r="B125" s="18">
        <v>4</v>
      </c>
      <c r="C125" s="18">
        <v>26.49</v>
      </c>
      <c r="D125" s="18">
        <v>105.96</v>
      </c>
    </row>
    <row r="126" spans="1:4" x14ac:dyDescent="0.2">
      <c r="A126" s="1">
        <v>44053</v>
      </c>
      <c r="B126" s="18">
        <v>5</v>
      </c>
      <c r="C126" s="18">
        <v>26.49</v>
      </c>
      <c r="D126" s="18">
        <v>132.44999999999999</v>
      </c>
    </row>
    <row r="127" spans="1:4" x14ac:dyDescent="0.2">
      <c r="A127" s="1">
        <v>44054</v>
      </c>
      <c r="B127" s="18">
        <v>3</v>
      </c>
      <c r="C127" s="18">
        <v>26.49</v>
      </c>
      <c r="D127" s="18">
        <v>79.47</v>
      </c>
    </row>
    <row r="128" spans="1:4" x14ac:dyDescent="0.2">
      <c r="A128" s="1">
        <v>44055</v>
      </c>
      <c r="B128" s="18">
        <v>6</v>
      </c>
      <c r="C128" s="18">
        <v>26.49</v>
      </c>
      <c r="D128" s="18">
        <v>158.94</v>
      </c>
    </row>
    <row r="129" spans="1:4" x14ac:dyDescent="0.2">
      <c r="A129" s="1">
        <v>44056</v>
      </c>
      <c r="B129" s="18">
        <v>4</v>
      </c>
      <c r="C129" s="18">
        <v>26.49</v>
      </c>
      <c r="D129" s="18">
        <v>105.96</v>
      </c>
    </row>
    <row r="130" spans="1:4" x14ac:dyDescent="0.2">
      <c r="A130" s="1">
        <v>44057</v>
      </c>
      <c r="B130" s="18">
        <v>5</v>
      </c>
      <c r="C130" s="18">
        <v>26.49</v>
      </c>
      <c r="D130" s="18">
        <v>132.44999999999999</v>
      </c>
    </row>
    <row r="131" spans="1:4" x14ac:dyDescent="0.2">
      <c r="A131" s="1">
        <v>44060</v>
      </c>
      <c r="B131" s="18">
        <v>3</v>
      </c>
      <c r="C131" s="18">
        <v>26.49</v>
      </c>
      <c r="D131" s="18">
        <v>79.47</v>
      </c>
    </row>
    <row r="132" spans="1:4" x14ac:dyDescent="0.2">
      <c r="A132" s="1">
        <v>44061</v>
      </c>
      <c r="B132" s="18">
        <v>6</v>
      </c>
      <c r="C132" s="18">
        <v>26.49</v>
      </c>
      <c r="D132" s="18">
        <v>158.94</v>
      </c>
    </row>
    <row r="133" spans="1:4" x14ac:dyDescent="0.2">
      <c r="A133" s="1">
        <v>44062</v>
      </c>
      <c r="B133" s="18">
        <v>4</v>
      </c>
      <c r="C133" s="18">
        <v>26.49</v>
      </c>
      <c r="D133" s="18">
        <v>105.96</v>
      </c>
    </row>
    <row r="134" spans="1:4" x14ac:dyDescent="0.2">
      <c r="A134" s="1">
        <v>44063</v>
      </c>
      <c r="B134" s="18">
        <v>4</v>
      </c>
      <c r="C134" s="18">
        <v>26.49</v>
      </c>
      <c r="D134" s="18">
        <v>105.96</v>
      </c>
    </row>
    <row r="135" spans="1:4" x14ac:dyDescent="0.2">
      <c r="A135" s="1">
        <v>44064</v>
      </c>
      <c r="B135" s="18">
        <v>3</v>
      </c>
      <c r="C135" s="18">
        <v>26.49</v>
      </c>
      <c r="D135" s="18">
        <v>79.47</v>
      </c>
    </row>
    <row r="136" spans="1:4" x14ac:dyDescent="0.2">
      <c r="A136" s="1">
        <v>44067</v>
      </c>
      <c r="B136" s="18">
        <v>5</v>
      </c>
      <c r="C136" s="18">
        <v>26.49</v>
      </c>
      <c r="D136" s="18">
        <v>132.44999999999999</v>
      </c>
    </row>
    <row r="137" spans="1:4" x14ac:dyDescent="0.2">
      <c r="A137" s="1">
        <v>44075</v>
      </c>
      <c r="B137" s="18">
        <v>4</v>
      </c>
      <c r="C137" s="18">
        <v>26.39</v>
      </c>
      <c r="D137" s="18">
        <v>105.56</v>
      </c>
    </row>
    <row r="138" spans="1:4" x14ac:dyDescent="0.2">
      <c r="A138" s="1">
        <v>44076</v>
      </c>
      <c r="B138" s="18">
        <v>5</v>
      </c>
      <c r="C138" s="18">
        <v>26.39</v>
      </c>
      <c r="D138" s="18">
        <v>131.94999999999999</v>
      </c>
    </row>
    <row r="139" spans="1:4" x14ac:dyDescent="0.2">
      <c r="A139" s="1">
        <v>44077</v>
      </c>
      <c r="B139" s="18">
        <v>3</v>
      </c>
      <c r="C139" s="18">
        <v>26.39</v>
      </c>
      <c r="D139" s="18">
        <v>79.17</v>
      </c>
    </row>
    <row r="140" spans="1:4" x14ac:dyDescent="0.2">
      <c r="A140" s="1">
        <v>44078</v>
      </c>
      <c r="B140" s="18">
        <v>6</v>
      </c>
      <c r="C140" s="18">
        <v>26.39</v>
      </c>
      <c r="D140" s="18">
        <v>158.34</v>
      </c>
    </row>
    <row r="141" spans="1:4" x14ac:dyDescent="0.2">
      <c r="A141" s="1">
        <v>44081</v>
      </c>
      <c r="B141" s="18">
        <v>4</v>
      </c>
      <c r="C141" s="18">
        <v>26.39</v>
      </c>
      <c r="D141" s="18">
        <v>105.56</v>
      </c>
    </row>
    <row r="142" spans="1:4" x14ac:dyDescent="0.2">
      <c r="A142" s="1">
        <v>44082</v>
      </c>
      <c r="B142" s="18">
        <v>5</v>
      </c>
      <c r="C142" s="18">
        <v>26.39</v>
      </c>
      <c r="D142" s="18">
        <v>131.94999999999999</v>
      </c>
    </row>
    <row r="143" spans="1:4" x14ac:dyDescent="0.2">
      <c r="A143" s="1">
        <v>44083</v>
      </c>
      <c r="B143" s="18">
        <v>3</v>
      </c>
      <c r="C143" s="18">
        <v>26.39</v>
      </c>
      <c r="D143" s="18">
        <v>79.17</v>
      </c>
    </row>
    <row r="144" spans="1:4" x14ac:dyDescent="0.2">
      <c r="A144" s="1">
        <v>44084</v>
      </c>
      <c r="B144" s="18">
        <v>6</v>
      </c>
      <c r="C144" s="18">
        <v>26.39</v>
      </c>
      <c r="D144" s="18">
        <v>158.34</v>
      </c>
    </row>
    <row r="145" spans="1:4" x14ac:dyDescent="0.2">
      <c r="A145" s="1">
        <v>44085</v>
      </c>
      <c r="B145" s="18">
        <v>4</v>
      </c>
      <c r="C145" s="18">
        <v>26.39</v>
      </c>
      <c r="D145" s="18">
        <v>105.56</v>
      </c>
    </row>
    <row r="146" spans="1:4" x14ac:dyDescent="0.2">
      <c r="A146" s="1">
        <v>44088</v>
      </c>
      <c r="B146" s="18">
        <v>5</v>
      </c>
      <c r="C146" s="18">
        <v>26.39</v>
      </c>
      <c r="D146" s="18">
        <v>131.94999999999999</v>
      </c>
    </row>
    <row r="147" spans="1:4" x14ac:dyDescent="0.2">
      <c r="A147" s="1">
        <v>44089</v>
      </c>
      <c r="B147" s="18">
        <v>3</v>
      </c>
      <c r="C147" s="18">
        <v>26.39</v>
      </c>
      <c r="D147" s="18">
        <v>79.17</v>
      </c>
    </row>
    <row r="148" spans="1:4" x14ac:dyDescent="0.2">
      <c r="A148" s="1">
        <v>44090</v>
      </c>
      <c r="B148" s="18">
        <v>6</v>
      </c>
      <c r="C148" s="18">
        <v>26.39</v>
      </c>
      <c r="D148" s="18">
        <v>158.34</v>
      </c>
    </row>
    <row r="149" spans="1:4" x14ac:dyDescent="0.2">
      <c r="A149" s="1">
        <v>44091</v>
      </c>
      <c r="B149" s="18">
        <v>4</v>
      </c>
      <c r="C149" s="18">
        <v>26.39</v>
      </c>
      <c r="D149" s="18">
        <v>105.56</v>
      </c>
    </row>
    <row r="150" spans="1:4" x14ac:dyDescent="0.2">
      <c r="A150" s="1">
        <v>44092</v>
      </c>
      <c r="B150" s="18">
        <v>5</v>
      </c>
      <c r="C150" s="18">
        <v>26.39</v>
      </c>
      <c r="D150" s="18">
        <v>131.94999999999999</v>
      </c>
    </row>
    <row r="151" spans="1:4" x14ac:dyDescent="0.2">
      <c r="A151" s="1">
        <v>44095</v>
      </c>
      <c r="B151" s="18">
        <v>3</v>
      </c>
      <c r="C151" s="18">
        <v>26.39</v>
      </c>
      <c r="D151" s="18">
        <v>79.17</v>
      </c>
    </row>
    <row r="152" spans="1:4" x14ac:dyDescent="0.2">
      <c r="A152" s="1">
        <v>44096</v>
      </c>
      <c r="B152" s="18">
        <v>6</v>
      </c>
      <c r="C152" s="18">
        <v>26.39</v>
      </c>
      <c r="D152" s="18">
        <v>158.34</v>
      </c>
    </row>
    <row r="153" spans="1:4" x14ac:dyDescent="0.2">
      <c r="A153" s="1">
        <v>44097</v>
      </c>
      <c r="B153" s="18">
        <v>4</v>
      </c>
      <c r="C153" s="18">
        <v>26.39</v>
      </c>
      <c r="D153" s="18">
        <v>105.56</v>
      </c>
    </row>
    <row r="154" spans="1:4" x14ac:dyDescent="0.2">
      <c r="A154" s="1">
        <v>44105</v>
      </c>
      <c r="B154" s="18">
        <v>5</v>
      </c>
      <c r="C154" s="18">
        <v>26.55</v>
      </c>
      <c r="D154" s="18">
        <v>132.75</v>
      </c>
    </row>
    <row r="155" spans="1:4" x14ac:dyDescent="0.2">
      <c r="A155" s="1">
        <v>44106</v>
      </c>
      <c r="B155" s="18">
        <v>5</v>
      </c>
      <c r="C155" s="18">
        <v>26.55</v>
      </c>
      <c r="D155" s="18">
        <v>132.75</v>
      </c>
    </row>
    <row r="156" spans="1:4" x14ac:dyDescent="0.2">
      <c r="A156" s="1">
        <v>44109</v>
      </c>
      <c r="B156" s="18">
        <v>3</v>
      </c>
      <c r="C156" s="18">
        <v>26.55</v>
      </c>
      <c r="D156" s="18">
        <v>79.650000000000006</v>
      </c>
    </row>
    <row r="157" spans="1:4" x14ac:dyDescent="0.2">
      <c r="A157" s="1">
        <v>44110</v>
      </c>
      <c r="B157" s="18">
        <v>6</v>
      </c>
      <c r="C157" s="18">
        <v>26.55</v>
      </c>
      <c r="D157" s="18">
        <v>159.30000000000001</v>
      </c>
    </row>
    <row r="158" spans="1:4" x14ac:dyDescent="0.2">
      <c r="A158" s="1">
        <v>44111</v>
      </c>
      <c r="B158" s="18">
        <v>4</v>
      </c>
      <c r="C158" s="18">
        <v>26.55</v>
      </c>
      <c r="D158" s="18">
        <v>106.2</v>
      </c>
    </row>
    <row r="159" spans="1:4" x14ac:dyDescent="0.2">
      <c r="A159" s="1">
        <v>44112</v>
      </c>
      <c r="B159" s="18">
        <v>5</v>
      </c>
      <c r="C159" s="18">
        <v>26.55</v>
      </c>
      <c r="D159" s="18">
        <v>132.75</v>
      </c>
    </row>
    <row r="160" spans="1:4" x14ac:dyDescent="0.2">
      <c r="A160" s="1">
        <v>44113</v>
      </c>
      <c r="B160" s="18">
        <v>3</v>
      </c>
      <c r="C160" s="18">
        <v>26.55</v>
      </c>
      <c r="D160" s="18">
        <v>79.650000000000006</v>
      </c>
    </row>
    <row r="161" spans="1:4" x14ac:dyDescent="0.2">
      <c r="A161" s="1">
        <v>44116</v>
      </c>
      <c r="B161" s="18">
        <v>6</v>
      </c>
      <c r="C161" s="18">
        <v>26.55</v>
      </c>
      <c r="D161" s="18">
        <v>159.30000000000001</v>
      </c>
    </row>
    <row r="162" spans="1:4" x14ac:dyDescent="0.2">
      <c r="A162" s="1">
        <v>44117</v>
      </c>
      <c r="B162" s="18">
        <v>4</v>
      </c>
      <c r="C162" s="18">
        <v>26.55</v>
      </c>
      <c r="D162" s="18">
        <v>106.2</v>
      </c>
    </row>
    <row r="163" spans="1:4" x14ac:dyDescent="0.2">
      <c r="A163" s="1">
        <v>44118</v>
      </c>
      <c r="B163" s="18">
        <v>5</v>
      </c>
      <c r="C163" s="18">
        <v>26.55</v>
      </c>
      <c r="D163" s="18">
        <v>132.75</v>
      </c>
    </row>
    <row r="164" spans="1:4" x14ac:dyDescent="0.2">
      <c r="A164" s="1">
        <v>44119</v>
      </c>
      <c r="B164" s="18">
        <v>3</v>
      </c>
      <c r="C164" s="18">
        <v>26.55</v>
      </c>
      <c r="D164" s="18">
        <v>79.650000000000006</v>
      </c>
    </row>
    <row r="165" spans="1:4" x14ac:dyDescent="0.2">
      <c r="A165" s="1">
        <v>44120</v>
      </c>
      <c r="B165" s="18">
        <v>6</v>
      </c>
      <c r="C165" s="18">
        <v>26.55</v>
      </c>
      <c r="D165" s="18">
        <v>159.30000000000001</v>
      </c>
    </row>
    <row r="166" spans="1:4" x14ac:dyDescent="0.2">
      <c r="A166" s="1">
        <v>44123</v>
      </c>
      <c r="B166" s="18">
        <v>4</v>
      </c>
      <c r="C166" s="18">
        <v>26.55</v>
      </c>
      <c r="D166" s="18">
        <v>106.2</v>
      </c>
    </row>
    <row r="167" spans="1:4" x14ac:dyDescent="0.2">
      <c r="A167" s="1">
        <v>44124</v>
      </c>
      <c r="B167" s="18">
        <v>5</v>
      </c>
      <c r="C167" s="18">
        <v>26.55</v>
      </c>
      <c r="D167" s="18">
        <v>132.75</v>
      </c>
    </row>
    <row r="168" spans="1:4" x14ac:dyDescent="0.2">
      <c r="A168" s="1">
        <v>44125</v>
      </c>
      <c r="B168" s="18">
        <v>3</v>
      </c>
      <c r="C168" s="18">
        <v>26.55</v>
      </c>
      <c r="D168" s="18">
        <v>79.650000000000006</v>
      </c>
    </row>
    <row r="169" spans="1:4" x14ac:dyDescent="0.2">
      <c r="A169" s="1">
        <v>44126</v>
      </c>
      <c r="B169" s="18">
        <v>6</v>
      </c>
      <c r="C169" s="18">
        <v>26.55</v>
      </c>
      <c r="D169" s="18">
        <v>159.30000000000001</v>
      </c>
    </row>
    <row r="170" spans="1:4" x14ac:dyDescent="0.2">
      <c r="A170" s="1">
        <v>44127</v>
      </c>
      <c r="B170" s="18">
        <v>4</v>
      </c>
      <c r="C170" s="18">
        <v>26.55</v>
      </c>
      <c r="D170" s="18">
        <v>106.2</v>
      </c>
    </row>
    <row r="171" spans="1:4" x14ac:dyDescent="0.2">
      <c r="A171" s="1">
        <v>44130</v>
      </c>
      <c r="B171" s="18">
        <v>5</v>
      </c>
      <c r="C171" s="18">
        <v>26.55</v>
      </c>
      <c r="D171" s="18">
        <v>132.75</v>
      </c>
    </row>
    <row r="172" spans="1:4" x14ac:dyDescent="0.2">
      <c r="A172" s="1">
        <v>44137</v>
      </c>
      <c r="B172" s="18">
        <v>5</v>
      </c>
      <c r="C172" s="18">
        <v>27.17</v>
      </c>
      <c r="D172" s="18">
        <v>135.85</v>
      </c>
    </row>
    <row r="173" spans="1:4" x14ac:dyDescent="0.2">
      <c r="A173" s="1">
        <v>44138</v>
      </c>
      <c r="B173" s="18">
        <v>6</v>
      </c>
      <c r="C173" s="18">
        <v>27.17</v>
      </c>
      <c r="D173" s="18">
        <v>163.02000000000001</v>
      </c>
    </row>
    <row r="174" spans="1:4" x14ac:dyDescent="0.2">
      <c r="A174" s="1">
        <v>44139</v>
      </c>
      <c r="B174" s="18">
        <v>3</v>
      </c>
      <c r="C174" s="18">
        <v>27.17</v>
      </c>
      <c r="D174" s="18">
        <v>81.510000000000005</v>
      </c>
    </row>
    <row r="175" spans="1:4" x14ac:dyDescent="0.2">
      <c r="A175" s="1">
        <v>44140</v>
      </c>
      <c r="B175" s="18">
        <v>6</v>
      </c>
      <c r="C175" s="18">
        <v>27.17</v>
      </c>
      <c r="D175" s="18">
        <v>163.02000000000001</v>
      </c>
    </row>
    <row r="176" spans="1:4" x14ac:dyDescent="0.2">
      <c r="A176" s="1">
        <v>44141</v>
      </c>
      <c r="B176" s="18">
        <v>4</v>
      </c>
      <c r="C176" s="18">
        <v>27.17</v>
      </c>
      <c r="D176" s="18">
        <v>108.68</v>
      </c>
    </row>
    <row r="177" spans="1:4" x14ac:dyDescent="0.2">
      <c r="A177" s="1">
        <v>44144</v>
      </c>
      <c r="B177" s="18">
        <v>5</v>
      </c>
      <c r="C177" s="18">
        <v>27.17</v>
      </c>
      <c r="D177" s="18">
        <v>135.85</v>
      </c>
    </row>
    <row r="178" spans="1:4" x14ac:dyDescent="0.2">
      <c r="A178" s="1">
        <v>44145</v>
      </c>
      <c r="B178" s="18">
        <v>3</v>
      </c>
      <c r="C178" s="18">
        <v>27.17</v>
      </c>
      <c r="D178" s="18">
        <v>81.510000000000005</v>
      </c>
    </row>
    <row r="179" spans="1:4" x14ac:dyDescent="0.2">
      <c r="A179" s="1">
        <v>44146</v>
      </c>
      <c r="B179" s="18">
        <v>6</v>
      </c>
      <c r="C179" s="18">
        <v>27.17</v>
      </c>
      <c r="D179" s="18">
        <v>163.02000000000001</v>
      </c>
    </row>
    <row r="180" spans="1:4" x14ac:dyDescent="0.2">
      <c r="A180" s="1">
        <v>44147</v>
      </c>
      <c r="B180" s="18">
        <v>4</v>
      </c>
      <c r="C180" s="18">
        <v>27.17</v>
      </c>
      <c r="D180" s="18">
        <v>108.68</v>
      </c>
    </row>
    <row r="181" spans="1:4" x14ac:dyDescent="0.2">
      <c r="A181" s="1">
        <v>44148</v>
      </c>
      <c r="B181" s="18">
        <v>5</v>
      </c>
      <c r="C181" s="18">
        <v>27.17</v>
      </c>
      <c r="D181" s="18">
        <v>135.85</v>
      </c>
    </row>
    <row r="182" spans="1:4" x14ac:dyDescent="0.2">
      <c r="A182" s="1">
        <v>44151</v>
      </c>
      <c r="B182" s="18">
        <v>3</v>
      </c>
      <c r="C182" s="18">
        <v>27.17</v>
      </c>
      <c r="D182" s="18">
        <v>81.510000000000005</v>
      </c>
    </row>
    <row r="183" spans="1:4" x14ac:dyDescent="0.2">
      <c r="A183" s="1">
        <v>44152</v>
      </c>
      <c r="B183" s="18">
        <v>6</v>
      </c>
      <c r="C183" s="18">
        <v>27.17</v>
      </c>
      <c r="D183" s="18">
        <v>163.02000000000001</v>
      </c>
    </row>
    <row r="184" spans="1:4" x14ac:dyDescent="0.2">
      <c r="A184" s="1">
        <v>44153</v>
      </c>
      <c r="B184" s="18">
        <v>4</v>
      </c>
      <c r="C184" s="18">
        <v>27.17</v>
      </c>
      <c r="D184" s="18">
        <v>108.68</v>
      </c>
    </row>
    <row r="185" spans="1:4" x14ac:dyDescent="0.2">
      <c r="A185" s="1">
        <v>44154</v>
      </c>
      <c r="B185" s="18">
        <v>5</v>
      </c>
      <c r="C185" s="18">
        <v>27.17</v>
      </c>
      <c r="D185" s="18">
        <v>135.85</v>
      </c>
    </row>
    <row r="186" spans="1:4" x14ac:dyDescent="0.2">
      <c r="A186" s="1">
        <v>44155</v>
      </c>
      <c r="B186" s="18">
        <v>3</v>
      </c>
      <c r="C186" s="18">
        <v>27.17</v>
      </c>
      <c r="D186" s="18">
        <v>81.510000000000005</v>
      </c>
    </row>
    <row r="187" spans="1:4" x14ac:dyDescent="0.2">
      <c r="A187" s="1">
        <v>44158</v>
      </c>
      <c r="B187" s="18">
        <v>6</v>
      </c>
      <c r="C187" s="18">
        <v>27.17</v>
      </c>
      <c r="D187" s="18">
        <v>163.02000000000001</v>
      </c>
    </row>
    <row r="188" spans="1:4" x14ac:dyDescent="0.2">
      <c r="A188" s="1">
        <v>44159</v>
      </c>
      <c r="B188" s="18">
        <v>4</v>
      </c>
      <c r="C188" s="18">
        <v>27.17</v>
      </c>
      <c r="D188" s="18">
        <v>108.68</v>
      </c>
    </row>
    <row r="189" spans="1:4" x14ac:dyDescent="0.2">
      <c r="A189" s="1">
        <v>44166</v>
      </c>
      <c r="B189" s="18">
        <v>4</v>
      </c>
      <c r="C189" s="18">
        <v>26.36</v>
      </c>
      <c r="D189" s="18">
        <v>105.44</v>
      </c>
    </row>
    <row r="190" spans="1:4" x14ac:dyDescent="0.2">
      <c r="A190" s="1">
        <v>44167</v>
      </c>
      <c r="B190" s="18">
        <v>5</v>
      </c>
      <c r="C190" s="18">
        <v>26.36</v>
      </c>
      <c r="D190" s="18">
        <v>131.80000000000001</v>
      </c>
    </row>
    <row r="191" spans="1:4" x14ac:dyDescent="0.2">
      <c r="A191" s="1">
        <v>44168</v>
      </c>
      <c r="B191" s="18">
        <v>3</v>
      </c>
      <c r="C191" s="18">
        <v>26.36</v>
      </c>
      <c r="D191" s="18">
        <v>79.08</v>
      </c>
    </row>
    <row r="192" spans="1:4" x14ac:dyDescent="0.2">
      <c r="A192" s="1">
        <v>44169</v>
      </c>
      <c r="B192" s="18">
        <v>6</v>
      </c>
      <c r="C192" s="18">
        <v>26.36</v>
      </c>
      <c r="D192" s="18">
        <v>158.16</v>
      </c>
    </row>
    <row r="193" spans="1:4" x14ac:dyDescent="0.2">
      <c r="A193" s="1">
        <v>44172</v>
      </c>
      <c r="B193" s="18">
        <v>4</v>
      </c>
      <c r="C193" s="18">
        <v>26.36</v>
      </c>
      <c r="D193" s="18">
        <v>105.44</v>
      </c>
    </row>
    <row r="194" spans="1:4" x14ac:dyDescent="0.2">
      <c r="A194" s="1">
        <v>44173</v>
      </c>
      <c r="B194" s="18">
        <v>5</v>
      </c>
      <c r="C194" s="18">
        <v>26.36</v>
      </c>
      <c r="D194" s="18">
        <v>131.80000000000001</v>
      </c>
    </row>
    <row r="195" spans="1:4" x14ac:dyDescent="0.2">
      <c r="A195" s="1">
        <v>44174</v>
      </c>
      <c r="B195" s="18">
        <v>3</v>
      </c>
      <c r="C195" s="18">
        <v>26.36</v>
      </c>
      <c r="D195" s="18">
        <v>79.08</v>
      </c>
    </row>
    <row r="196" spans="1:4" x14ac:dyDescent="0.2">
      <c r="A196" s="1">
        <v>44175</v>
      </c>
      <c r="B196" s="18">
        <v>6</v>
      </c>
      <c r="C196" s="18">
        <v>26.36</v>
      </c>
      <c r="D196" s="18">
        <v>158.16</v>
      </c>
    </row>
    <row r="197" spans="1:4" x14ac:dyDescent="0.2">
      <c r="A197" s="1">
        <v>44176</v>
      </c>
      <c r="B197" s="18">
        <v>4</v>
      </c>
      <c r="C197" s="18">
        <v>26.36</v>
      </c>
      <c r="D197" s="18">
        <v>105.44</v>
      </c>
    </row>
    <row r="198" spans="1:4" x14ac:dyDescent="0.2">
      <c r="A198" s="1">
        <v>44179</v>
      </c>
      <c r="B198" s="18">
        <v>5</v>
      </c>
      <c r="C198" s="18">
        <v>26.36</v>
      </c>
      <c r="D198" s="18">
        <v>131.80000000000001</v>
      </c>
    </row>
    <row r="199" spans="1:4" x14ac:dyDescent="0.2">
      <c r="A199" s="1">
        <v>44180</v>
      </c>
      <c r="B199" s="18">
        <v>3</v>
      </c>
      <c r="C199" s="18">
        <v>26.36</v>
      </c>
      <c r="D199" s="18">
        <v>79.08</v>
      </c>
    </row>
    <row r="200" spans="1:4" x14ac:dyDescent="0.2">
      <c r="A200" s="1">
        <v>44181</v>
      </c>
      <c r="B200" s="18">
        <v>6</v>
      </c>
      <c r="C200" s="18">
        <v>26.36</v>
      </c>
      <c r="D200" s="18">
        <v>158.16</v>
      </c>
    </row>
    <row r="201" spans="1:4" x14ac:dyDescent="0.2">
      <c r="A201" s="1">
        <v>44182</v>
      </c>
      <c r="B201" s="18">
        <v>4</v>
      </c>
      <c r="C201" s="18">
        <v>26.36</v>
      </c>
      <c r="D201" s="18">
        <v>105.44</v>
      </c>
    </row>
    <row r="202" spans="1:4" x14ac:dyDescent="0.2">
      <c r="A202" s="1">
        <v>44183</v>
      </c>
      <c r="B202" s="18">
        <v>5</v>
      </c>
      <c r="C202" s="18">
        <v>26.36</v>
      </c>
      <c r="D202" s="18">
        <v>131.80000000000001</v>
      </c>
    </row>
    <row r="203" spans="1:4" x14ac:dyDescent="0.2">
      <c r="A203" s="1">
        <v>44186</v>
      </c>
      <c r="B203" s="18">
        <v>3</v>
      </c>
      <c r="C203" s="18">
        <v>26.36</v>
      </c>
      <c r="D203" s="18">
        <v>79.08</v>
      </c>
    </row>
    <row r="204" spans="1:4" x14ac:dyDescent="0.2">
      <c r="A204" s="1">
        <v>44187</v>
      </c>
      <c r="B204" s="18">
        <v>6</v>
      </c>
      <c r="C204" s="18">
        <v>26.36</v>
      </c>
      <c r="D204" s="18">
        <v>158.16</v>
      </c>
    </row>
    <row r="205" spans="1:4" x14ac:dyDescent="0.2">
      <c r="A205" s="1">
        <v>44188</v>
      </c>
      <c r="B205" s="18">
        <v>3</v>
      </c>
      <c r="C205" s="18">
        <v>26.36</v>
      </c>
      <c r="D205" s="18">
        <v>79.08</v>
      </c>
    </row>
    <row r="206" spans="1:4" x14ac:dyDescent="0.2">
      <c r="A206" s="1">
        <v>44189</v>
      </c>
      <c r="B206" s="18">
        <v>4</v>
      </c>
      <c r="C206" s="18">
        <v>26.36</v>
      </c>
      <c r="D206" s="18">
        <v>105.44</v>
      </c>
    </row>
    <row r="208" spans="1:4" x14ac:dyDescent="0.2">
      <c r="A208" s="1" t="s">
        <v>4</v>
      </c>
      <c r="B208" s="2">
        <f>SUM(B2:B206)</f>
        <v>924</v>
      </c>
      <c r="D208" s="2">
        <f>SUM(D2:D206)</f>
        <v>24690.499999999993</v>
      </c>
    </row>
    <row r="210" spans="1:4" x14ac:dyDescent="0.2">
      <c r="A210" s="1" t="s">
        <v>61</v>
      </c>
      <c r="B210" s="2" t="s">
        <v>62</v>
      </c>
      <c r="D210" s="2">
        <f>D208*0.23</f>
        <v>5678.8149999999987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1A24F-376C-409C-92DD-0F0B824B66CE}">
  <dimension ref="A1:I14"/>
  <sheetViews>
    <sheetView tabSelected="1" workbookViewId="0">
      <selection activeCell="G5" sqref="G5"/>
    </sheetView>
  </sheetViews>
  <sheetFormatPr defaultRowHeight="12.75" x14ac:dyDescent="0.2"/>
  <sheetData>
    <row r="1" spans="1:9" x14ac:dyDescent="0.2">
      <c r="A1" s="7">
        <v>2021</v>
      </c>
      <c r="B1" s="7" t="s">
        <v>63</v>
      </c>
      <c r="C1" s="7" t="s">
        <v>27</v>
      </c>
    </row>
    <row r="2" spans="1:9" x14ac:dyDescent="0.2">
      <c r="A2" s="8" t="s">
        <v>28</v>
      </c>
      <c r="B2">
        <v>913.58</v>
      </c>
      <c r="C2" s="12"/>
    </row>
    <row r="3" spans="1:9" x14ac:dyDescent="0.2">
      <c r="A3" s="8" t="s">
        <v>29</v>
      </c>
      <c r="B3" s="2">
        <v>915.57</v>
      </c>
      <c r="C3" s="14"/>
    </row>
    <row r="4" spans="1:9" x14ac:dyDescent="0.2">
      <c r="A4" s="8" t="s">
        <v>30</v>
      </c>
      <c r="B4" s="2">
        <v>761.6</v>
      </c>
      <c r="C4" s="11"/>
    </row>
    <row r="5" spans="1:9" x14ac:dyDescent="0.2">
      <c r="A5" s="8" t="s">
        <v>31</v>
      </c>
      <c r="B5">
        <v>759.62</v>
      </c>
      <c r="C5" s="17"/>
    </row>
    <row r="6" spans="1:9" x14ac:dyDescent="0.2">
      <c r="A6" s="8" t="s">
        <v>39</v>
      </c>
      <c r="B6">
        <v>765.57</v>
      </c>
    </row>
    <row r="7" spans="1:9" x14ac:dyDescent="0.2">
      <c r="A7" s="8" t="s">
        <v>32</v>
      </c>
      <c r="B7">
        <v>918.53</v>
      </c>
      <c r="C7" s="15"/>
    </row>
    <row r="8" spans="1:9" x14ac:dyDescent="0.2">
      <c r="A8" s="8" t="s">
        <v>33</v>
      </c>
      <c r="B8" s="2">
        <v>909.62</v>
      </c>
      <c r="C8" s="13"/>
    </row>
    <row r="9" spans="1:9" x14ac:dyDescent="0.2">
      <c r="A9" s="8" t="s">
        <v>34</v>
      </c>
      <c r="B9">
        <v>903.67</v>
      </c>
      <c r="C9">
        <f>733.8+D9+E9+F9+G9+H9+I9</f>
        <v>6124.92</v>
      </c>
      <c r="D9" s="16">
        <v>768.21</v>
      </c>
      <c r="E9" s="15">
        <v>1146.56</v>
      </c>
      <c r="F9" s="14">
        <v>707.32</v>
      </c>
      <c r="G9" s="13">
        <v>1198.29</v>
      </c>
      <c r="H9" s="12">
        <v>802.53</v>
      </c>
      <c r="I9" s="11">
        <v>768.21</v>
      </c>
    </row>
    <row r="10" spans="1:9" x14ac:dyDescent="0.2">
      <c r="A10" s="8" t="s">
        <v>35</v>
      </c>
      <c r="B10">
        <v>901.68</v>
      </c>
      <c r="C10">
        <v>768.21</v>
      </c>
    </row>
    <row r="11" spans="1:9" x14ac:dyDescent="0.2">
      <c r="A11" s="8" t="s">
        <v>36</v>
      </c>
      <c r="B11" s="2">
        <v>901.68</v>
      </c>
      <c r="C11">
        <v>768.21</v>
      </c>
    </row>
    <row r="12" spans="1:9" x14ac:dyDescent="0.2">
      <c r="A12" s="8" t="s">
        <v>37</v>
      </c>
      <c r="B12" s="2">
        <v>899.7</v>
      </c>
      <c r="C12">
        <v>634.27</v>
      </c>
    </row>
    <row r="13" spans="1:9" x14ac:dyDescent="0.2">
      <c r="A13" s="8" t="s">
        <v>38</v>
      </c>
      <c r="B13" s="2">
        <v>780.14</v>
      </c>
      <c r="C13">
        <v>733.8</v>
      </c>
    </row>
    <row r="14" spans="1:9" x14ac:dyDescent="0.2">
      <c r="A14" s="9" t="s">
        <v>4</v>
      </c>
      <c r="B14" s="10">
        <f>SUM(B3:B13)</f>
        <v>9417.380000000001</v>
      </c>
      <c r="C14" s="9">
        <f>SUM(C3:C13)</f>
        <v>9029.41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Maandsamenvatting</vt:lpstr>
      <vt:lpstr>Rittenplanning</vt:lpstr>
      <vt:lpstr>Prive</vt:lpstr>
    </vt:vector>
  </TitlesOfParts>
  <Company>TenneT TSO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Ramasray, Sandjai</dc:creator>
  <cp:lastModifiedBy>Ramasray, Sandjai</cp:lastModifiedBy>
  <dcterms:created xsi:type="dcterms:W3CDTF">2026-04-15T16:05:43Z</dcterms:created>
  <dcterms:modified xsi:type="dcterms:W3CDTF">2026-04-17T13:50:45Z</dcterms:modified>
</cp:coreProperties>
</file>