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684D8B3E-7DB3-45FB-A22B-E376786DED91}" xr6:coauthVersionLast="47" xr6:coauthVersionMax="47" xr10:uidLastSave="{00000000-0000-0000-0000-000000000000}"/>
  <bookViews>
    <workbookView xWindow="540" yWindow="540" windowWidth="20865" windowHeight="17400" xr2:uid="{02CEB6A6-BC0C-4963-A90B-ADBE5CB7C339}"/>
  </bookViews>
  <sheets>
    <sheet name="Maandsamenvatting" sheetId="2" r:id="rId1"/>
    <sheet name="Rittenplann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B13" i="2"/>
  <c r="C13" i="2" s="1"/>
  <c r="D12" i="2"/>
  <c r="B12" i="2"/>
  <c r="C12" i="2" s="1"/>
  <c r="D11" i="2"/>
  <c r="B11" i="2"/>
  <c r="C11" i="2" s="1"/>
  <c r="D10" i="2"/>
  <c r="B10" i="2"/>
  <c r="C10" i="2" s="1"/>
  <c r="D9" i="2"/>
  <c r="B9" i="2"/>
  <c r="C9" i="2" s="1"/>
  <c r="D8" i="2"/>
  <c r="B8" i="2"/>
  <c r="C8" i="2" s="1"/>
  <c r="D7" i="2"/>
  <c r="B7" i="2"/>
  <c r="C7" i="2" s="1"/>
  <c r="D6" i="2"/>
  <c r="B6" i="2"/>
  <c r="C6" i="2" s="1"/>
  <c r="D5" i="2"/>
  <c r="B5" i="2"/>
  <c r="C5" i="2" s="1"/>
  <c r="D4" i="2"/>
  <c r="B4" i="2"/>
  <c r="C4" i="2" s="1"/>
  <c r="D3" i="2"/>
  <c r="B3" i="2"/>
  <c r="C3" i="2" s="1"/>
  <c r="D2" i="2"/>
  <c r="B2" i="2"/>
  <c r="D219" i="1"/>
  <c r="D221" i="1" s="1"/>
  <c r="B219" i="1"/>
  <c r="H26" i="2"/>
  <c r="H24" i="2"/>
  <c r="H27" i="2" s="1"/>
  <c r="I8" i="2"/>
  <c r="I9" i="2" s="1"/>
  <c r="H8" i="2"/>
  <c r="H9" i="2" s="1"/>
  <c r="I12" i="2"/>
  <c r="H12" i="2"/>
  <c r="B15" i="2" l="1"/>
  <c r="D15" i="2"/>
  <c r="B21" i="2" s="1"/>
  <c r="B23" i="2" s="1"/>
  <c r="C2" i="2"/>
  <c r="C15" i="2" s="1"/>
  <c r="B19" i="2" s="1"/>
  <c r="B24" i="2" s="1"/>
  <c r="H21" i="2" s="1"/>
  <c r="H29" i="2" s="1"/>
  <c r="H14" i="2" s="1"/>
  <c r="H16" i="2" s="1"/>
  <c r="H17" i="2" s="1"/>
</calcChain>
</file>

<file path=xl/sharedStrings.xml><?xml version="1.0" encoding="utf-8"?>
<sst xmlns="http://schemas.openxmlformats.org/spreadsheetml/2006/main" count="51" uniqueCount="48">
  <si>
    <t>Plandatum</t>
  </si>
  <si>
    <t>Uren gepland</t>
  </si>
  <si>
    <t>Km per uur</t>
  </si>
  <si>
    <t>Kilometers</t>
  </si>
  <si>
    <t>Totaal</t>
  </si>
  <si>
    <t>Maand</t>
  </si>
  <si>
    <t>Inkomsten rijschool</t>
  </si>
  <si>
    <t>Uurtarief</t>
  </si>
  <si>
    <t>januari 2019</t>
  </si>
  <si>
    <t>februari 2019</t>
  </si>
  <si>
    <t>maart 2019</t>
  </si>
  <si>
    <t>april 2019</t>
  </si>
  <si>
    <t>mei 2019</t>
  </si>
  <si>
    <t>juni 2019</t>
  </si>
  <si>
    <t>juli 2019</t>
  </si>
  <si>
    <t>augustus 2019</t>
  </si>
  <si>
    <t>september 2019</t>
  </si>
  <si>
    <t>oktober 2019</t>
  </si>
  <si>
    <t>november 2019</t>
  </si>
  <si>
    <t>december 2019</t>
  </si>
  <si>
    <t>Verlies- en winstrekening</t>
  </si>
  <si>
    <t>Inkomsten - Rijschool</t>
  </si>
  <si>
    <t>Kosten - Rijschool</t>
  </si>
  <si>
    <t>Kosten - km</t>
  </si>
  <si>
    <t>Kosten - Internet/Mobiel</t>
  </si>
  <si>
    <t>Totale kosten</t>
  </si>
  <si>
    <t>Resultaat</t>
  </si>
  <si>
    <t>BALANS 2019</t>
  </si>
  <si>
    <t>ACTIVA</t>
  </si>
  <si>
    <t>VASTE ACTIVA</t>
  </si>
  <si>
    <t>afschrijvingen</t>
  </si>
  <si>
    <t>boekwaarde</t>
  </si>
  <si>
    <t>Inventaris (incl computer ed)</t>
  </si>
  <si>
    <t>VLOTTENDE ACTIVA</t>
  </si>
  <si>
    <t>te ontvangen Belastingen</t>
  </si>
  <si>
    <t>LIQUIDE  MIDDELEN</t>
  </si>
  <si>
    <t>Kas/bank</t>
  </si>
  <si>
    <t>priveontrekkingen</t>
  </si>
  <si>
    <t>TOTAAL   </t>
  </si>
  <si>
    <t>PASSIVA</t>
  </si>
  <si>
    <t>Eigen vermogen</t>
  </si>
  <si>
    <t>Langlopende schulden</t>
  </si>
  <si>
    <t>Kortlopende schulden</t>
  </si>
  <si>
    <t>Te Betalen Belastingen</t>
  </si>
  <si>
    <t>cumm</t>
  </si>
  <si>
    <t>TOTAAL  </t>
  </si>
  <si>
    <t>Km-vergoeding</t>
  </si>
  <si>
    <t>Jaar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</si>
</sst>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15" fontId="3" fillId="2" borderId="2" xfId="0" applyNumberFormat="1" applyFont="1" applyFill="1" applyBorder="1"/>
    <xf numFmtId="15" fontId="3" fillId="3" borderId="2" xfId="0" applyNumberFormat="1" applyFont="1" applyFill="1" applyBorder="1"/>
    <xf numFmtId="0" fontId="0" fillId="0" borderId="3" xfId="0" applyBorder="1"/>
    <xf numFmtId="0" fontId="4" fillId="0" borderId="4" xfId="0" applyFont="1" applyBorder="1"/>
    <xf numFmtId="0" fontId="3" fillId="4" borderId="5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0" fillId="0" borderId="5" xfId="0" applyBorder="1"/>
    <xf numFmtId="0" fontId="4" fillId="5" borderId="6" xfId="0" applyFont="1" applyFill="1" applyBorder="1"/>
    <xf numFmtId="0" fontId="4" fillId="6" borderId="7" xfId="0" applyFont="1" applyFill="1" applyBorder="1"/>
    <xf numFmtId="0" fontId="0" fillId="0" borderId="8" xfId="0" applyBorder="1"/>
    <xf numFmtId="0" fontId="4" fillId="5" borderId="0" xfId="0" applyFont="1" applyFill="1"/>
    <xf numFmtId="0" fontId="4" fillId="6" borderId="9" xfId="0" applyFont="1" applyFill="1" applyBorder="1"/>
    <xf numFmtId="0" fontId="5" fillId="0" borderId="8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4" fillId="5" borderId="4" xfId="0" applyFont="1" applyFill="1" applyBorder="1"/>
    <xf numFmtId="0" fontId="4" fillId="6" borderId="10" xfId="0" applyFont="1" applyFill="1" applyBorder="1"/>
    <xf numFmtId="0" fontId="6" fillId="0" borderId="5" xfId="0" applyFont="1" applyBorder="1"/>
    <xf numFmtId="0" fontId="7" fillId="5" borderId="6" xfId="0" applyFont="1" applyFill="1" applyBorder="1"/>
    <xf numFmtId="0" fontId="7" fillId="6" borderId="7" xfId="0" applyFont="1" applyFill="1" applyBorder="1"/>
    <xf numFmtId="0" fontId="0" fillId="0" borderId="8" xfId="0" applyBorder="1" applyAlignment="1">
      <alignment horizontal="left"/>
    </xf>
    <xf numFmtId="0" fontId="8" fillId="0" borderId="3" xfId="0" applyFont="1" applyBorder="1" applyAlignment="1">
      <alignment horizontal="right"/>
    </xf>
    <xf numFmtId="0" fontId="7" fillId="5" borderId="0" xfId="0" applyFont="1" applyFill="1"/>
    <xf numFmtId="0" fontId="7" fillId="6" borderId="9" xfId="0" applyFont="1" applyFill="1" applyBorder="1"/>
    <xf numFmtId="0" fontId="8" fillId="0" borderId="8" xfId="0" applyFont="1" applyBorder="1" applyAlignment="1">
      <alignment horizontal="right"/>
    </xf>
    <xf numFmtId="1" fontId="4" fillId="5" borderId="0" xfId="0" applyNumberFormat="1" applyFont="1" applyFill="1"/>
    <xf numFmtId="1" fontId="4" fillId="6" borderId="9" xfId="0" applyNumberFormat="1" applyFont="1" applyFill="1" applyBorder="1"/>
    <xf numFmtId="0" fontId="3" fillId="0" borderId="11" xfId="0" applyFont="1" applyBorder="1"/>
    <xf numFmtId="0" fontId="7" fillId="6" borderId="13" xfId="0" applyFont="1" applyFill="1" applyBorder="1"/>
    <xf numFmtId="0" fontId="9" fillId="7" borderId="3" xfId="0" applyFont="1" applyFill="1" applyBorder="1"/>
    <xf numFmtId="1" fontId="9" fillId="7" borderId="10" xfId="0" applyNumberFormat="1" applyFont="1" applyFill="1" applyBorder="1"/>
    <xf numFmtId="0" fontId="4" fillId="0" borderId="9" xfId="0" applyFont="1" applyBorder="1"/>
    <xf numFmtId="1" fontId="4" fillId="6" borderId="7" xfId="0" applyNumberFormat="1" applyFont="1" applyFill="1" applyBorder="1"/>
    <xf numFmtId="0" fontId="8" fillId="0" borderId="8" xfId="0" applyFont="1" applyBorder="1" applyAlignment="1">
      <alignment horizontal="left"/>
    </xf>
    <xf numFmtId="1" fontId="4" fillId="5" borderId="10" xfId="0" applyNumberFormat="1" applyFont="1" applyFill="1" applyBorder="1"/>
    <xf numFmtId="1" fontId="4" fillId="6" borderId="10" xfId="0" applyNumberFormat="1" applyFont="1" applyFill="1" applyBorder="1"/>
    <xf numFmtId="1" fontId="7" fillId="5" borderId="0" xfId="0" applyNumberFormat="1" applyFont="1" applyFill="1"/>
    <xf numFmtId="1" fontId="7" fillId="6" borderId="9" xfId="0" applyNumberFormat="1" applyFont="1" applyFill="1" applyBorder="1"/>
    <xf numFmtId="0" fontId="5" fillId="0" borderId="14" xfId="0" applyFont="1" applyBorder="1" applyAlignment="1">
      <alignment horizontal="right"/>
    </xf>
    <xf numFmtId="1" fontId="4" fillId="5" borderId="15" xfId="0" applyNumberFormat="1" applyFont="1" applyFill="1" applyBorder="1"/>
    <xf numFmtId="1" fontId="4" fillId="6" borderId="16" xfId="0" applyNumberFormat="1" applyFont="1" applyFill="1" applyBorder="1"/>
    <xf numFmtId="1" fontId="9" fillId="7" borderId="17" xfId="0" applyNumberFormat="1" applyFont="1" applyFill="1" applyBorder="1"/>
    <xf numFmtId="2" fontId="4" fillId="5" borderId="0" xfId="0" applyNumberFormat="1" applyFont="1" applyFill="1"/>
    <xf numFmtId="2" fontId="4" fillId="5" borderId="4" xfId="0" applyNumberFormat="1" applyFont="1" applyFill="1" applyBorder="1"/>
    <xf numFmtId="2" fontId="7" fillId="5" borderId="12" xfId="0" applyNumberFormat="1" applyFont="1" applyFill="1" applyBorder="1"/>
    <xf numFmtId="2" fontId="9" fillId="7" borderId="4" xfId="0" applyNumberFormat="1" applyFont="1" applyFill="1" applyBorder="1"/>
    <xf numFmtId="2" fontId="4" fillId="0" borderId="0" xfId="0" applyNumberFormat="1" applyFont="1"/>
    <xf numFmtId="2" fontId="4" fillId="4" borderId="6" xfId="0" applyNumberFormat="1" applyFont="1" applyFill="1" applyBorder="1"/>
    <xf numFmtId="2" fontId="4" fillId="5" borderId="6" xfId="0" applyNumberFormat="1" applyFont="1" applyFill="1" applyBorder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52EB-D925-4E86-9E9F-36E17E47501E}">
  <dimension ref="A1:I29"/>
  <sheetViews>
    <sheetView tabSelected="1" workbookViewId="0">
      <selection activeCell="H30" sqref="H5:H30"/>
    </sheetView>
  </sheetViews>
  <sheetFormatPr defaultRowHeight="12.75" x14ac:dyDescent="0.2"/>
  <cols>
    <col min="1" max="1" width="21" style="5" bestFit="1" customWidth="1"/>
    <col min="2" max="2" width="12.7109375" style="2" customWidth="1"/>
    <col min="3" max="3" width="18.85546875" style="2" bestFit="1" customWidth="1"/>
    <col min="4" max="4" width="10.7109375" style="2" bestFit="1" customWidth="1"/>
    <col min="5" max="5" width="8.85546875" style="2" bestFit="1" customWidth="1"/>
    <col min="7" max="7" width="25.42578125" bestFit="1" customWidth="1"/>
    <col min="8" max="8" width="11.85546875" customWidth="1"/>
    <col min="9" max="9" width="14.5703125" customWidth="1"/>
  </cols>
  <sheetData>
    <row r="1" spans="1:9" ht="13.5" thickBot="1" x14ac:dyDescent="0.25">
      <c r="A1" s="6" t="s">
        <v>5</v>
      </c>
      <c r="B1" s="4" t="s">
        <v>1</v>
      </c>
      <c r="C1" s="4" t="s">
        <v>6</v>
      </c>
      <c r="D1" s="4" t="s">
        <v>3</v>
      </c>
      <c r="E1" s="4" t="s">
        <v>7</v>
      </c>
      <c r="G1" s="7" t="s">
        <v>27</v>
      </c>
      <c r="H1" s="8">
        <v>43830</v>
      </c>
      <c r="I1" s="9">
        <v>43465</v>
      </c>
    </row>
    <row r="2" spans="1:9" x14ac:dyDescent="0.2">
      <c r="A2" s="5" t="s">
        <v>8</v>
      </c>
      <c r="B2" s="2">
        <f>SUMIFS(Rittenplanning!$B:$B,Rittenplanning!$A:$A,"&gt;="&amp;DATE(2019,1,1),Rittenplanning!$A:$A,"&lt;"&amp;DATE(2019,2,1))</f>
        <v>84</v>
      </c>
      <c r="C2" s="2">
        <f t="shared" ref="C2:C13" si="0">B2*E2</f>
        <v>2730</v>
      </c>
      <c r="D2" s="2">
        <f>SUMIFS(Rittenplanning!$D:$D,Rittenplanning!$A:$A,"&gt;="&amp;DATE(2019,1,1),Rittenplanning!$A:$A,"&lt;"&amp;DATE(2019,2,1))</f>
        <v>2249.5200000000004</v>
      </c>
      <c r="E2" s="2">
        <v>32.5</v>
      </c>
      <c r="G2" s="10"/>
      <c r="H2" s="11"/>
      <c r="I2" s="11"/>
    </row>
    <row r="3" spans="1:9" x14ac:dyDescent="0.2">
      <c r="A3" s="5" t="s">
        <v>9</v>
      </c>
      <c r="B3" s="2">
        <f>SUMIFS(Rittenplanning!$B:$B,Rittenplanning!$A:$A,"&gt;="&amp;DATE(2019,2,1),Rittenplanning!$A:$A,"&lt;"&amp;DATE(2019,3,1))</f>
        <v>86</v>
      </c>
      <c r="C3" s="2">
        <f t="shared" si="0"/>
        <v>2795</v>
      </c>
      <c r="D3" s="2">
        <f>SUMIFS(Rittenplanning!$D:$D,Rittenplanning!$A:$A,"&gt;="&amp;DATE(2019,2,1),Rittenplanning!$A:$A,"&lt;"&amp;DATE(2019,3,1))</f>
        <v>2224.8199999999993</v>
      </c>
      <c r="E3" s="2">
        <v>32.5</v>
      </c>
      <c r="G3" s="12" t="s">
        <v>28</v>
      </c>
      <c r="H3" s="13"/>
      <c r="I3" s="14"/>
    </row>
    <row r="4" spans="1:9" x14ac:dyDescent="0.2">
      <c r="A4" s="5" t="s">
        <v>10</v>
      </c>
      <c r="B4" s="2">
        <f>SUMIFS(Rittenplanning!$B:$B,Rittenplanning!$A:$A,"&gt;="&amp;DATE(2019,3,1),Rittenplanning!$A:$A,"&lt;"&amp;DATE(2019,4,1))</f>
        <v>88</v>
      </c>
      <c r="C4" s="2">
        <f t="shared" si="0"/>
        <v>2860</v>
      </c>
      <c r="D4" s="2">
        <f>SUMIFS(Rittenplanning!$D:$D,Rittenplanning!$A:$A,"&gt;="&amp;DATE(2019,3,1),Rittenplanning!$A:$A,"&lt;"&amp;DATE(2019,4,1))</f>
        <v>2324.9599999999991</v>
      </c>
      <c r="E4" s="2">
        <v>32.5</v>
      </c>
      <c r="G4" s="15"/>
      <c r="H4" s="16"/>
      <c r="I4" s="17"/>
    </row>
    <row r="5" spans="1:9" x14ac:dyDescent="0.2">
      <c r="A5" s="5" t="s">
        <v>11</v>
      </c>
      <c r="B5" s="2">
        <f>SUMIFS(Rittenplanning!$B:$B,Rittenplanning!$A:$A,"&gt;="&amp;DATE(2019,4,1),Rittenplanning!$A:$A,"&lt;"&amp;DATE(2019,5,1))</f>
        <v>90</v>
      </c>
      <c r="C5" s="2">
        <f t="shared" si="0"/>
        <v>2925</v>
      </c>
      <c r="D5" s="2">
        <f>SUMIFS(Rittenplanning!$D:$D,Rittenplanning!$A:$A,"&gt;="&amp;DATE(2019,4,1),Rittenplanning!$A:$A,"&lt;"&amp;DATE(2019,5,1))</f>
        <v>2421</v>
      </c>
      <c r="E5" s="2">
        <v>32.5</v>
      </c>
      <c r="G5" s="18" t="s">
        <v>29</v>
      </c>
      <c r="H5" s="19"/>
      <c r="I5" s="20"/>
    </row>
    <row r="6" spans="1:9" x14ac:dyDescent="0.2">
      <c r="A6" s="5" t="s">
        <v>12</v>
      </c>
      <c r="B6" s="2">
        <f>SUMIFS(Rittenplanning!$B:$B,Rittenplanning!$A:$A,"&gt;="&amp;DATE(2019,5,1),Rittenplanning!$A:$A,"&lt;"&amp;DATE(2019,6,1))</f>
        <v>92</v>
      </c>
      <c r="C6" s="2">
        <f t="shared" si="0"/>
        <v>2990</v>
      </c>
      <c r="D6" s="2">
        <f>SUMIFS(Rittenplanning!$D:$D,Rittenplanning!$A:$A,"&gt;="&amp;DATE(2019,5,1),Rittenplanning!$A:$A,"&lt;"&amp;DATE(2019,6,1))</f>
        <v>2546.5600000000009</v>
      </c>
      <c r="E6" s="2">
        <v>32.5</v>
      </c>
      <c r="G6" s="21" t="s">
        <v>32</v>
      </c>
      <c r="H6" s="19">
        <v>700</v>
      </c>
      <c r="I6" s="20">
        <v>900</v>
      </c>
    </row>
    <row r="7" spans="1:9" x14ac:dyDescent="0.2">
      <c r="A7" s="5" t="s">
        <v>13</v>
      </c>
      <c r="B7" s="2">
        <f>SUMIFS(Rittenplanning!$B:$B,Rittenplanning!$A:$A,"&gt;="&amp;DATE(2019,6,1),Rittenplanning!$A:$A,"&lt;"&amp;DATE(2019,7,1))</f>
        <v>89</v>
      </c>
      <c r="C7" s="2">
        <f t="shared" si="0"/>
        <v>2892.5</v>
      </c>
      <c r="D7" s="2">
        <f>SUMIFS(Rittenplanning!$D:$D,Rittenplanning!$A:$A,"&gt;="&amp;DATE(2019,6,1),Rittenplanning!$A:$A,"&lt;"&amp;DATE(2019,7,1))</f>
        <v>2333.5799999999995</v>
      </c>
      <c r="E7" s="2">
        <v>32.5</v>
      </c>
      <c r="G7" s="21" t="s">
        <v>30</v>
      </c>
      <c r="H7" s="19">
        <v>200</v>
      </c>
      <c r="I7" s="20">
        <v>200</v>
      </c>
    </row>
    <row r="8" spans="1:9" x14ac:dyDescent="0.2">
      <c r="A8" s="5" t="s">
        <v>14</v>
      </c>
      <c r="B8" s="2">
        <f>SUMIFS(Rittenplanning!$B:$B,Rittenplanning!$A:$A,"&gt;="&amp;DATE(2019,7,1),Rittenplanning!$A:$A,"&lt;"&amp;DATE(2019,8,1))</f>
        <v>94</v>
      </c>
      <c r="C8" s="2">
        <f t="shared" si="0"/>
        <v>3055</v>
      </c>
      <c r="D8" s="2">
        <f>SUMIFS(Rittenplanning!$D:$D,Rittenplanning!$A:$A,"&gt;="&amp;DATE(2019,7,1),Rittenplanning!$A:$A,"&lt;"&amp;DATE(2019,8,1))</f>
        <v>2601.9200000000005</v>
      </c>
      <c r="E8" s="2">
        <v>32.5</v>
      </c>
      <c r="G8" s="22" t="s">
        <v>31</v>
      </c>
      <c r="H8" s="23">
        <f>H6-H7</f>
        <v>500</v>
      </c>
      <c r="I8" s="24">
        <f>I6-I7</f>
        <v>700</v>
      </c>
    </row>
    <row r="9" spans="1:9" x14ac:dyDescent="0.2">
      <c r="A9" s="5" t="s">
        <v>15</v>
      </c>
      <c r="B9" s="2">
        <f>SUMIFS(Rittenplanning!$B:$B,Rittenplanning!$A:$A,"&gt;="&amp;DATE(2019,8,1),Rittenplanning!$A:$A,"&lt;"&amp;DATE(2019,9,1))</f>
        <v>80</v>
      </c>
      <c r="C9" s="2">
        <f t="shared" si="0"/>
        <v>2600</v>
      </c>
      <c r="D9" s="2">
        <f>SUMIFS(Rittenplanning!$D:$D,Rittenplanning!$A:$A,"&gt;="&amp;DATE(2019,8,1),Rittenplanning!$A:$A,"&lt;"&amp;DATE(2019,9,1))</f>
        <v>2119.2000000000003</v>
      </c>
      <c r="E9" s="2">
        <v>32.5</v>
      </c>
      <c r="G9" s="25"/>
      <c r="H9" s="26">
        <f>H8</f>
        <v>500</v>
      </c>
      <c r="I9" s="27">
        <f>I8</f>
        <v>700</v>
      </c>
    </row>
    <row r="10" spans="1:9" x14ac:dyDescent="0.2">
      <c r="A10" s="5" t="s">
        <v>16</v>
      </c>
      <c r="B10" s="2">
        <f>SUMIFS(Rittenplanning!$B:$B,Rittenplanning!$A:$A,"&gt;="&amp;DATE(2019,9,1),Rittenplanning!$A:$A,"&lt;"&amp;DATE(2019,10,1))</f>
        <v>90</v>
      </c>
      <c r="C10" s="2">
        <f t="shared" si="0"/>
        <v>2925</v>
      </c>
      <c r="D10" s="2">
        <f>SUMIFS(Rittenplanning!$D:$D,Rittenplanning!$A:$A,"&gt;="&amp;DATE(2019,9,1),Rittenplanning!$A:$A,"&lt;"&amp;DATE(2019,10,1))</f>
        <v>2375.1</v>
      </c>
      <c r="E10" s="2">
        <v>32.5</v>
      </c>
      <c r="G10" s="28" t="s">
        <v>33</v>
      </c>
      <c r="H10" s="19"/>
      <c r="I10" s="20"/>
    </row>
    <row r="11" spans="1:9" x14ac:dyDescent="0.2">
      <c r="A11" s="5" t="s">
        <v>17</v>
      </c>
      <c r="B11" s="2">
        <f>SUMIFS(Rittenplanning!$B:$B,Rittenplanning!$A:$A,"&gt;="&amp;DATE(2019,10,1),Rittenplanning!$A:$A,"&lt;"&amp;DATE(2019,11,1))</f>
        <v>96</v>
      </c>
      <c r="C11" s="2">
        <f t="shared" si="0"/>
        <v>3120</v>
      </c>
      <c r="D11" s="2">
        <f>SUMIFS(Rittenplanning!$D:$D,Rittenplanning!$A:$A,"&gt;="&amp;DATE(2019,10,1),Rittenplanning!$A:$A,"&lt;"&amp;DATE(2019,11,1))</f>
        <v>2548.8000000000002</v>
      </c>
      <c r="E11" s="2">
        <v>32.5</v>
      </c>
      <c r="G11" s="29" t="s">
        <v>34</v>
      </c>
      <c r="H11" s="23">
        <v>817</v>
      </c>
      <c r="I11" s="24">
        <v>817</v>
      </c>
    </row>
    <row r="12" spans="1:9" x14ac:dyDescent="0.2">
      <c r="A12" s="5" t="s">
        <v>18</v>
      </c>
      <c r="B12" s="2">
        <f>SUMIFS(Rittenplanning!$B:$B,Rittenplanning!$A:$A,"&gt;="&amp;DATE(2019,11,1),Rittenplanning!$A:$A,"&lt;"&amp;DATE(2019,12,1))</f>
        <v>92</v>
      </c>
      <c r="C12" s="2">
        <f t="shared" si="0"/>
        <v>2990</v>
      </c>
      <c r="D12" s="2">
        <f>SUMIFS(Rittenplanning!$D:$D,Rittenplanning!$A:$A,"&gt;="&amp;DATE(2019,11,1),Rittenplanning!$A:$A,"&lt;"&amp;DATE(2019,12,1))</f>
        <v>2499.6399999999994</v>
      </c>
      <c r="E12" s="2">
        <v>32.5</v>
      </c>
      <c r="G12" s="28"/>
      <c r="H12" s="30">
        <f>SUM(H11:H11)</f>
        <v>817</v>
      </c>
      <c r="I12" s="31">
        <f>SUM(I11:I11)</f>
        <v>817</v>
      </c>
    </row>
    <row r="13" spans="1:9" x14ac:dyDescent="0.2">
      <c r="A13" s="5" t="s">
        <v>19</v>
      </c>
      <c r="B13" s="2">
        <f>SUMIFS(Rittenplanning!$B:$B,Rittenplanning!$A:$A,"&gt;="&amp;DATE(2019,12,1),Rittenplanning!$A:$A,"&lt;"&amp;DATE(2020,1,1))</f>
        <v>99</v>
      </c>
      <c r="C13" s="2">
        <f t="shared" si="0"/>
        <v>3217.5</v>
      </c>
      <c r="D13" s="2">
        <f>SUMIFS(Rittenplanning!$D:$D,Rittenplanning!$A:$A,"&gt;="&amp;DATE(2019,12,1),Rittenplanning!$A:$A,"&lt;"&amp;DATE(2020,1,1))</f>
        <v>2609.6400000000003</v>
      </c>
      <c r="E13" s="2">
        <v>32.5</v>
      </c>
      <c r="G13" s="28" t="s">
        <v>35</v>
      </c>
      <c r="H13" s="19"/>
      <c r="I13" s="20"/>
    </row>
    <row r="14" spans="1:9" x14ac:dyDescent="0.2">
      <c r="G14" s="32" t="s">
        <v>36</v>
      </c>
      <c r="H14" s="50">
        <f>H29-H9-H12-H15</f>
        <v>30735.5298</v>
      </c>
      <c r="I14" s="34">
        <v>49537.336652892569</v>
      </c>
    </row>
    <row r="15" spans="1:9" x14ac:dyDescent="0.2">
      <c r="A15" s="5" t="s">
        <v>4</v>
      </c>
      <c r="B15" s="2">
        <f>SUM(B2:B13)</f>
        <v>1080</v>
      </c>
      <c r="C15" s="2">
        <f>SUM(C2:C13)</f>
        <v>35100</v>
      </c>
      <c r="D15" s="2">
        <f>SUM(D2:D13)</f>
        <v>28854.739999999998</v>
      </c>
      <c r="E15" s="2">
        <v>32.5</v>
      </c>
      <c r="G15" s="29" t="s">
        <v>37</v>
      </c>
      <c r="H15" s="51">
        <v>-26500</v>
      </c>
      <c r="I15" s="24">
        <v>0</v>
      </c>
    </row>
    <row r="16" spans="1:9" ht="13.5" thickBot="1" x14ac:dyDescent="0.25">
      <c r="G16" s="35"/>
      <c r="H16" s="52">
        <f>SUM(H14:H15)</f>
        <v>4235.5298000000003</v>
      </c>
      <c r="I16" s="36">
        <v>49537.336652892569</v>
      </c>
    </row>
    <row r="17" spans="1:9" ht="13.5" thickTop="1" x14ac:dyDescent="0.2">
      <c r="G17" s="37" t="s">
        <v>38</v>
      </c>
      <c r="H17" s="53">
        <f>SUM(H9,H12,H16)</f>
        <v>5552.5298000000003</v>
      </c>
      <c r="I17" s="38">
        <v>57049.336652892569</v>
      </c>
    </row>
    <row r="18" spans="1:9" x14ac:dyDescent="0.2">
      <c r="A18" s="6" t="s">
        <v>20</v>
      </c>
      <c r="H18" s="54"/>
      <c r="I18" s="39"/>
    </row>
    <row r="19" spans="1:9" x14ac:dyDescent="0.2">
      <c r="A19" s="2" t="s">
        <v>21</v>
      </c>
      <c r="B19" s="2">
        <f>C15</f>
        <v>35100</v>
      </c>
      <c r="G19" s="12"/>
      <c r="H19" s="55"/>
      <c r="I19" s="14"/>
    </row>
    <row r="20" spans="1:9" x14ac:dyDescent="0.2">
      <c r="A20" s="2" t="s">
        <v>22</v>
      </c>
      <c r="B20" s="2">
        <v>949.23</v>
      </c>
      <c r="G20" s="15" t="s">
        <v>39</v>
      </c>
      <c r="H20" s="56"/>
      <c r="I20" s="40"/>
    </row>
    <row r="21" spans="1:9" x14ac:dyDescent="0.2">
      <c r="A21" s="2" t="s">
        <v>23</v>
      </c>
      <c r="B21" s="2">
        <f>D15*0.23</f>
        <v>6636.5901999999996</v>
      </c>
      <c r="G21" s="28" t="s">
        <v>40</v>
      </c>
      <c r="H21" s="57">
        <f>I21+$B24+H15</f>
        <v>5552.5298000000003</v>
      </c>
      <c r="I21" s="34">
        <v>4577</v>
      </c>
    </row>
    <row r="22" spans="1:9" x14ac:dyDescent="0.2">
      <c r="A22" s="2" t="s">
        <v>24</v>
      </c>
      <c r="B22" s="2">
        <v>38.65</v>
      </c>
      <c r="G22" s="32"/>
      <c r="H22" s="33"/>
      <c r="I22" s="34"/>
    </row>
    <row r="23" spans="1:9" x14ac:dyDescent="0.2">
      <c r="A23" s="4" t="s">
        <v>25</v>
      </c>
      <c r="B23" s="4">
        <f>SUM(B20:B22)</f>
        <v>7624.4701999999997</v>
      </c>
      <c r="G23" s="41" t="s">
        <v>41</v>
      </c>
      <c r="H23" s="33"/>
      <c r="I23" s="34"/>
    </row>
    <row r="24" spans="1:9" x14ac:dyDescent="0.2">
      <c r="A24" s="4" t="s">
        <v>26</v>
      </c>
      <c r="B24" s="4">
        <f>B19-B23</f>
        <v>27475.5298</v>
      </c>
      <c r="G24" s="41" t="s">
        <v>42</v>
      </c>
      <c r="H24" s="33">
        <f>0</f>
        <v>0</v>
      </c>
      <c r="I24" s="34">
        <v>28833.956487603307</v>
      </c>
    </row>
    <row r="25" spans="1:9" x14ac:dyDescent="0.2">
      <c r="G25" s="21"/>
      <c r="H25" s="33"/>
      <c r="I25" s="34"/>
    </row>
    <row r="26" spans="1:9" x14ac:dyDescent="0.2">
      <c r="G26" s="41" t="s">
        <v>43</v>
      </c>
      <c r="H26" s="42">
        <f>0</f>
        <v>0</v>
      </c>
      <c r="I26" s="43">
        <v>6494.3801652892562</v>
      </c>
    </row>
    <row r="27" spans="1:9" x14ac:dyDescent="0.2">
      <c r="G27" s="21" t="s">
        <v>44</v>
      </c>
      <c r="H27" s="44">
        <f>SUM(H24:H26)</f>
        <v>0</v>
      </c>
      <c r="I27" s="45">
        <v>23638.380165289258</v>
      </c>
    </row>
    <row r="28" spans="1:9" ht="13.5" thickBot="1" x14ac:dyDescent="0.25">
      <c r="G28" s="46"/>
      <c r="H28" s="47"/>
      <c r="I28" s="48"/>
    </row>
    <row r="29" spans="1:9" ht="13.5" thickTop="1" x14ac:dyDescent="0.2">
      <c r="G29" s="37" t="s">
        <v>45</v>
      </c>
      <c r="H29" s="49">
        <f>H21+H24+H27</f>
        <v>5552.5298000000003</v>
      </c>
      <c r="I29" s="49">
        <v>57049.336652892569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56FA-8B6E-4038-B90D-5E63566BBD92}">
  <dimension ref="A1:D221"/>
  <sheetViews>
    <sheetView workbookViewId="0"/>
  </sheetViews>
  <sheetFormatPr defaultRowHeight="12.75" x14ac:dyDescent="0.2"/>
  <cols>
    <col min="1" max="1" width="14.7109375" style="1" customWidth="1"/>
    <col min="2" max="2" width="11.85546875" style="2" bestFit="1" customWidth="1"/>
    <col min="3" max="3" width="10.140625" style="2" bestFit="1" customWidth="1"/>
    <col min="4" max="4" width="9.85546875" style="2" bestFit="1" customWidth="1"/>
  </cols>
  <sheetData>
    <row r="1" spans="1:4" x14ac:dyDescent="0.2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>
        <v>43466</v>
      </c>
      <c r="B2" s="2">
        <v>5</v>
      </c>
      <c r="C2" s="2">
        <v>26.78</v>
      </c>
      <c r="D2" s="2">
        <v>133.9</v>
      </c>
    </row>
    <row r="3" spans="1:4" x14ac:dyDescent="0.2">
      <c r="A3" s="1">
        <v>43467</v>
      </c>
      <c r="B3" s="2">
        <v>5</v>
      </c>
      <c r="C3" s="2">
        <v>26.78</v>
      </c>
      <c r="D3" s="2">
        <v>133.9</v>
      </c>
    </row>
    <row r="4" spans="1:4" x14ac:dyDescent="0.2">
      <c r="A4" s="1">
        <v>43468</v>
      </c>
      <c r="B4" s="2">
        <v>5</v>
      </c>
      <c r="C4" s="2">
        <v>26.78</v>
      </c>
      <c r="D4" s="2">
        <v>133.9</v>
      </c>
    </row>
    <row r="5" spans="1:4" x14ac:dyDescent="0.2">
      <c r="A5" s="1">
        <v>43469</v>
      </c>
      <c r="B5" s="2">
        <v>5</v>
      </c>
      <c r="C5" s="2">
        <v>26.78</v>
      </c>
      <c r="D5" s="2">
        <v>133.9</v>
      </c>
    </row>
    <row r="6" spans="1:4" x14ac:dyDescent="0.2">
      <c r="A6" s="1">
        <v>43472</v>
      </c>
      <c r="B6" s="2">
        <v>5</v>
      </c>
      <c r="C6" s="2">
        <v>26.78</v>
      </c>
      <c r="D6" s="2">
        <v>133.9</v>
      </c>
    </row>
    <row r="7" spans="1:4" x14ac:dyDescent="0.2">
      <c r="A7" s="1">
        <v>43473</v>
      </c>
      <c r="B7" s="2">
        <v>5</v>
      </c>
      <c r="C7" s="2">
        <v>26.78</v>
      </c>
      <c r="D7" s="2">
        <v>133.9</v>
      </c>
    </row>
    <row r="8" spans="1:4" x14ac:dyDescent="0.2">
      <c r="A8" s="1">
        <v>43474</v>
      </c>
      <c r="B8" s="2">
        <v>5</v>
      </c>
      <c r="C8" s="2">
        <v>26.78</v>
      </c>
      <c r="D8" s="2">
        <v>133.9</v>
      </c>
    </row>
    <row r="9" spans="1:4" x14ac:dyDescent="0.2">
      <c r="A9" s="1">
        <v>43475</v>
      </c>
      <c r="B9" s="2">
        <v>5</v>
      </c>
      <c r="C9" s="2">
        <v>26.78</v>
      </c>
      <c r="D9" s="2">
        <v>133.9</v>
      </c>
    </row>
    <row r="10" spans="1:4" x14ac:dyDescent="0.2">
      <c r="A10" s="1">
        <v>43476</v>
      </c>
      <c r="B10" s="2">
        <v>5</v>
      </c>
      <c r="C10" s="2">
        <v>26.78</v>
      </c>
      <c r="D10" s="2">
        <v>133.9</v>
      </c>
    </row>
    <row r="11" spans="1:4" x14ac:dyDescent="0.2">
      <c r="A11" s="1">
        <v>43479</v>
      </c>
      <c r="B11" s="2">
        <v>5</v>
      </c>
      <c r="C11" s="2">
        <v>26.78</v>
      </c>
      <c r="D11" s="2">
        <v>133.9</v>
      </c>
    </row>
    <row r="12" spans="1:4" x14ac:dyDescent="0.2">
      <c r="A12" s="1">
        <v>43480</v>
      </c>
      <c r="B12" s="2">
        <v>5</v>
      </c>
      <c r="C12" s="2">
        <v>26.78</v>
      </c>
      <c r="D12" s="2">
        <v>133.9</v>
      </c>
    </row>
    <row r="13" spans="1:4" x14ac:dyDescent="0.2">
      <c r="A13" s="1">
        <v>43481</v>
      </c>
      <c r="B13" s="2">
        <v>5</v>
      </c>
      <c r="C13" s="2">
        <v>26.78</v>
      </c>
      <c r="D13" s="2">
        <v>133.9</v>
      </c>
    </row>
    <row r="14" spans="1:4" x14ac:dyDescent="0.2">
      <c r="A14" s="1">
        <v>43482</v>
      </c>
      <c r="B14" s="2">
        <v>5</v>
      </c>
      <c r="C14" s="2">
        <v>26.78</v>
      </c>
      <c r="D14" s="2">
        <v>133.9</v>
      </c>
    </row>
    <row r="15" spans="1:4" x14ac:dyDescent="0.2">
      <c r="A15" s="1">
        <v>43483</v>
      </c>
      <c r="B15" s="2">
        <v>5</v>
      </c>
      <c r="C15" s="2">
        <v>26.78</v>
      </c>
      <c r="D15" s="2">
        <v>133.9</v>
      </c>
    </row>
    <row r="16" spans="1:4" x14ac:dyDescent="0.2">
      <c r="A16" s="1">
        <v>43486</v>
      </c>
      <c r="B16" s="2">
        <v>5</v>
      </c>
      <c r="C16" s="2">
        <v>26.78</v>
      </c>
      <c r="D16" s="2">
        <v>133.9</v>
      </c>
    </row>
    <row r="17" spans="1:4" x14ac:dyDescent="0.2">
      <c r="A17" s="1">
        <v>43487</v>
      </c>
      <c r="B17" s="2">
        <v>5</v>
      </c>
      <c r="C17" s="2">
        <v>26.78</v>
      </c>
      <c r="D17" s="2">
        <v>133.9</v>
      </c>
    </row>
    <row r="18" spans="1:4" x14ac:dyDescent="0.2">
      <c r="A18" s="1">
        <v>43488</v>
      </c>
      <c r="B18" s="2">
        <v>4</v>
      </c>
      <c r="C18" s="2">
        <v>26.78</v>
      </c>
      <c r="D18" s="2">
        <v>107.12</v>
      </c>
    </row>
    <row r="19" spans="1:4" x14ac:dyDescent="0.2">
      <c r="A19" s="1">
        <v>43497</v>
      </c>
      <c r="B19" s="2">
        <v>6</v>
      </c>
      <c r="C19" s="2">
        <v>25.87</v>
      </c>
      <c r="D19" s="2">
        <v>155.22</v>
      </c>
    </row>
    <row r="20" spans="1:4" x14ac:dyDescent="0.2">
      <c r="A20" s="1">
        <v>43500</v>
      </c>
      <c r="B20" s="2">
        <v>5</v>
      </c>
      <c r="C20" s="2">
        <v>25.87</v>
      </c>
      <c r="D20" s="2">
        <v>129.35</v>
      </c>
    </row>
    <row r="21" spans="1:4" x14ac:dyDescent="0.2">
      <c r="A21" s="1">
        <v>43501</v>
      </c>
      <c r="B21" s="2">
        <v>5</v>
      </c>
      <c r="C21" s="2">
        <v>25.87</v>
      </c>
      <c r="D21" s="2">
        <v>129.35</v>
      </c>
    </row>
    <row r="22" spans="1:4" x14ac:dyDescent="0.2">
      <c r="A22" s="1">
        <v>43502</v>
      </c>
      <c r="B22" s="2">
        <v>5</v>
      </c>
      <c r="C22" s="2">
        <v>25.87</v>
      </c>
      <c r="D22" s="2">
        <v>129.35</v>
      </c>
    </row>
    <row r="23" spans="1:4" x14ac:dyDescent="0.2">
      <c r="A23" s="1">
        <v>43503</v>
      </c>
      <c r="B23" s="2">
        <v>5</v>
      </c>
      <c r="C23" s="2">
        <v>25.87</v>
      </c>
      <c r="D23" s="2">
        <v>129.35</v>
      </c>
    </row>
    <row r="24" spans="1:4" x14ac:dyDescent="0.2">
      <c r="A24" s="1">
        <v>43504</v>
      </c>
      <c r="B24" s="2">
        <v>5</v>
      </c>
      <c r="C24" s="2">
        <v>25.87</v>
      </c>
      <c r="D24" s="2">
        <v>129.35</v>
      </c>
    </row>
    <row r="25" spans="1:4" x14ac:dyDescent="0.2">
      <c r="A25" s="1">
        <v>43507</v>
      </c>
      <c r="B25" s="2">
        <v>5</v>
      </c>
      <c r="C25" s="2">
        <v>25.87</v>
      </c>
      <c r="D25" s="2">
        <v>129.35</v>
      </c>
    </row>
    <row r="26" spans="1:4" x14ac:dyDescent="0.2">
      <c r="A26" s="1">
        <v>43508</v>
      </c>
      <c r="B26" s="2">
        <v>5</v>
      </c>
      <c r="C26" s="2">
        <v>25.87</v>
      </c>
      <c r="D26" s="2">
        <v>129.35</v>
      </c>
    </row>
    <row r="27" spans="1:4" x14ac:dyDescent="0.2">
      <c r="A27" s="1">
        <v>43509</v>
      </c>
      <c r="B27" s="2">
        <v>5</v>
      </c>
      <c r="C27" s="2">
        <v>25.87</v>
      </c>
      <c r="D27" s="2">
        <v>129.35</v>
      </c>
    </row>
    <row r="28" spans="1:4" x14ac:dyDescent="0.2">
      <c r="A28" s="1">
        <v>43510</v>
      </c>
      <c r="B28" s="2">
        <v>5</v>
      </c>
      <c r="C28" s="2">
        <v>25.87</v>
      </c>
      <c r="D28" s="2">
        <v>129.35</v>
      </c>
    </row>
    <row r="29" spans="1:4" x14ac:dyDescent="0.2">
      <c r="A29" s="1">
        <v>43511</v>
      </c>
      <c r="B29" s="2">
        <v>5</v>
      </c>
      <c r="C29" s="2">
        <v>25.87</v>
      </c>
      <c r="D29" s="2">
        <v>129.35</v>
      </c>
    </row>
    <row r="30" spans="1:4" x14ac:dyDescent="0.2">
      <c r="A30" s="1">
        <v>43514</v>
      </c>
      <c r="B30" s="2">
        <v>5</v>
      </c>
      <c r="C30" s="2">
        <v>25.87</v>
      </c>
      <c r="D30" s="2">
        <v>129.35</v>
      </c>
    </row>
    <row r="31" spans="1:4" x14ac:dyDescent="0.2">
      <c r="A31" s="1">
        <v>43515</v>
      </c>
      <c r="B31" s="2">
        <v>5</v>
      </c>
      <c r="C31" s="2">
        <v>25.87</v>
      </c>
      <c r="D31" s="2">
        <v>129.35</v>
      </c>
    </row>
    <row r="32" spans="1:4" x14ac:dyDescent="0.2">
      <c r="A32" s="1">
        <v>43516</v>
      </c>
      <c r="B32" s="2">
        <v>5</v>
      </c>
      <c r="C32" s="2">
        <v>25.87</v>
      </c>
      <c r="D32" s="2">
        <v>129.35</v>
      </c>
    </row>
    <row r="33" spans="1:4" x14ac:dyDescent="0.2">
      <c r="A33" s="1">
        <v>43517</v>
      </c>
      <c r="B33" s="2">
        <v>5</v>
      </c>
      <c r="C33" s="2">
        <v>25.87</v>
      </c>
      <c r="D33" s="2">
        <v>129.35</v>
      </c>
    </row>
    <row r="34" spans="1:4" x14ac:dyDescent="0.2">
      <c r="A34" s="1">
        <v>43518</v>
      </c>
      <c r="B34" s="2">
        <v>5</v>
      </c>
      <c r="C34" s="2">
        <v>25.87</v>
      </c>
      <c r="D34" s="2">
        <v>129.35</v>
      </c>
    </row>
    <row r="35" spans="1:4" x14ac:dyDescent="0.2">
      <c r="A35" s="1">
        <v>43521</v>
      </c>
      <c r="B35" s="2">
        <v>5</v>
      </c>
      <c r="C35" s="2">
        <v>25.87</v>
      </c>
      <c r="D35" s="2">
        <v>129.35</v>
      </c>
    </row>
    <row r="36" spans="1:4" x14ac:dyDescent="0.2">
      <c r="A36" s="1">
        <v>43525</v>
      </c>
      <c r="B36" s="2">
        <v>5</v>
      </c>
      <c r="C36" s="2">
        <v>26.42</v>
      </c>
      <c r="D36" s="2">
        <v>132.1</v>
      </c>
    </row>
    <row r="37" spans="1:4" x14ac:dyDescent="0.2">
      <c r="A37" s="1">
        <v>43528</v>
      </c>
      <c r="B37" s="2">
        <v>5</v>
      </c>
      <c r="C37" s="2">
        <v>26.42</v>
      </c>
      <c r="D37" s="2">
        <v>132.1</v>
      </c>
    </row>
    <row r="38" spans="1:4" x14ac:dyDescent="0.2">
      <c r="A38" s="1">
        <v>43529</v>
      </c>
      <c r="B38" s="2">
        <v>5</v>
      </c>
      <c r="C38" s="2">
        <v>26.42</v>
      </c>
      <c r="D38" s="2">
        <v>132.1</v>
      </c>
    </row>
    <row r="39" spans="1:4" x14ac:dyDescent="0.2">
      <c r="A39" s="1">
        <v>43530</v>
      </c>
      <c r="B39" s="2">
        <v>5</v>
      </c>
      <c r="C39" s="2">
        <v>26.42</v>
      </c>
      <c r="D39" s="2">
        <v>132.1</v>
      </c>
    </row>
    <row r="40" spans="1:4" x14ac:dyDescent="0.2">
      <c r="A40" s="1">
        <v>43531</v>
      </c>
      <c r="B40" s="2">
        <v>5</v>
      </c>
      <c r="C40" s="2">
        <v>26.42</v>
      </c>
      <c r="D40" s="2">
        <v>132.1</v>
      </c>
    </row>
    <row r="41" spans="1:4" x14ac:dyDescent="0.2">
      <c r="A41" s="1">
        <v>43532</v>
      </c>
      <c r="B41" s="2">
        <v>5</v>
      </c>
      <c r="C41" s="2">
        <v>26.42</v>
      </c>
      <c r="D41" s="2">
        <v>132.1</v>
      </c>
    </row>
    <row r="42" spans="1:4" x14ac:dyDescent="0.2">
      <c r="A42" s="1">
        <v>43535</v>
      </c>
      <c r="B42" s="2">
        <v>5</v>
      </c>
      <c r="C42" s="2">
        <v>26.42</v>
      </c>
      <c r="D42" s="2">
        <v>132.1</v>
      </c>
    </row>
    <row r="43" spans="1:4" x14ac:dyDescent="0.2">
      <c r="A43" s="1">
        <v>43536</v>
      </c>
      <c r="B43" s="2">
        <v>5</v>
      </c>
      <c r="C43" s="2">
        <v>26.42</v>
      </c>
      <c r="D43" s="2">
        <v>132.1</v>
      </c>
    </row>
    <row r="44" spans="1:4" x14ac:dyDescent="0.2">
      <c r="A44" s="1">
        <v>43537</v>
      </c>
      <c r="B44" s="2">
        <v>5</v>
      </c>
      <c r="C44" s="2">
        <v>26.42</v>
      </c>
      <c r="D44" s="2">
        <v>132.1</v>
      </c>
    </row>
    <row r="45" spans="1:4" x14ac:dyDescent="0.2">
      <c r="A45" s="1">
        <v>43538</v>
      </c>
      <c r="B45" s="2">
        <v>5</v>
      </c>
      <c r="C45" s="2">
        <v>26.42</v>
      </c>
      <c r="D45" s="2">
        <v>132.1</v>
      </c>
    </row>
    <row r="46" spans="1:4" x14ac:dyDescent="0.2">
      <c r="A46" s="1">
        <v>43539</v>
      </c>
      <c r="B46" s="2">
        <v>5</v>
      </c>
      <c r="C46" s="2">
        <v>26.42</v>
      </c>
      <c r="D46" s="2">
        <v>132.1</v>
      </c>
    </row>
    <row r="47" spans="1:4" x14ac:dyDescent="0.2">
      <c r="A47" s="1">
        <v>43542</v>
      </c>
      <c r="B47" s="2">
        <v>5</v>
      </c>
      <c r="C47" s="2">
        <v>26.42</v>
      </c>
      <c r="D47" s="2">
        <v>132.1</v>
      </c>
    </row>
    <row r="48" spans="1:4" x14ac:dyDescent="0.2">
      <c r="A48" s="1">
        <v>43543</v>
      </c>
      <c r="B48" s="2">
        <v>5</v>
      </c>
      <c r="C48" s="2">
        <v>26.42</v>
      </c>
      <c r="D48" s="2">
        <v>132.1</v>
      </c>
    </row>
    <row r="49" spans="1:4" x14ac:dyDescent="0.2">
      <c r="A49" s="1">
        <v>43544</v>
      </c>
      <c r="B49" s="2">
        <v>5</v>
      </c>
      <c r="C49" s="2">
        <v>26.42</v>
      </c>
      <c r="D49" s="2">
        <v>132.1</v>
      </c>
    </row>
    <row r="50" spans="1:4" x14ac:dyDescent="0.2">
      <c r="A50" s="1">
        <v>43545</v>
      </c>
      <c r="B50" s="2">
        <v>5</v>
      </c>
      <c r="C50" s="2">
        <v>26.42</v>
      </c>
      <c r="D50" s="2">
        <v>132.1</v>
      </c>
    </row>
    <row r="51" spans="1:4" x14ac:dyDescent="0.2">
      <c r="A51" s="1">
        <v>43546</v>
      </c>
      <c r="B51" s="2">
        <v>5</v>
      </c>
      <c r="C51" s="2">
        <v>26.42</v>
      </c>
      <c r="D51" s="2">
        <v>132.1</v>
      </c>
    </row>
    <row r="52" spans="1:4" x14ac:dyDescent="0.2">
      <c r="A52" s="1">
        <v>43549</v>
      </c>
      <c r="B52" s="2">
        <v>4</v>
      </c>
      <c r="C52" s="2">
        <v>26.42</v>
      </c>
      <c r="D52" s="2">
        <v>105.68</v>
      </c>
    </row>
    <row r="53" spans="1:4" x14ac:dyDescent="0.2">
      <c r="A53" s="1">
        <v>43550</v>
      </c>
      <c r="B53" s="2">
        <v>4</v>
      </c>
      <c r="C53" s="2">
        <v>26.42</v>
      </c>
      <c r="D53" s="2">
        <v>105.68</v>
      </c>
    </row>
    <row r="54" spans="1:4" x14ac:dyDescent="0.2">
      <c r="A54" s="1">
        <v>43556</v>
      </c>
      <c r="B54" s="2">
        <v>5</v>
      </c>
      <c r="C54" s="2">
        <v>26.9</v>
      </c>
      <c r="D54" s="2">
        <v>134.5</v>
      </c>
    </row>
    <row r="55" spans="1:4" x14ac:dyDescent="0.2">
      <c r="A55" s="1">
        <v>43557</v>
      </c>
      <c r="B55" s="2">
        <v>5</v>
      </c>
      <c r="C55" s="2">
        <v>26.9</v>
      </c>
      <c r="D55" s="2">
        <v>134.5</v>
      </c>
    </row>
    <row r="56" spans="1:4" x14ac:dyDescent="0.2">
      <c r="A56" s="1">
        <v>43558</v>
      </c>
      <c r="B56" s="2">
        <v>5</v>
      </c>
      <c r="C56" s="2">
        <v>26.9</v>
      </c>
      <c r="D56" s="2">
        <v>134.5</v>
      </c>
    </row>
    <row r="57" spans="1:4" x14ac:dyDescent="0.2">
      <c r="A57" s="1">
        <v>43559</v>
      </c>
      <c r="B57" s="2">
        <v>5</v>
      </c>
      <c r="C57" s="2">
        <v>26.9</v>
      </c>
      <c r="D57" s="2">
        <v>134.5</v>
      </c>
    </row>
    <row r="58" spans="1:4" x14ac:dyDescent="0.2">
      <c r="A58" s="1">
        <v>43560</v>
      </c>
      <c r="B58" s="2">
        <v>5</v>
      </c>
      <c r="C58" s="2">
        <v>26.9</v>
      </c>
      <c r="D58" s="2">
        <v>134.5</v>
      </c>
    </row>
    <row r="59" spans="1:4" x14ac:dyDescent="0.2">
      <c r="A59" s="1">
        <v>43563</v>
      </c>
      <c r="B59" s="2">
        <v>5</v>
      </c>
      <c r="C59" s="2">
        <v>26.9</v>
      </c>
      <c r="D59" s="2">
        <v>134.5</v>
      </c>
    </row>
    <row r="60" spans="1:4" x14ac:dyDescent="0.2">
      <c r="A60" s="1">
        <v>43564</v>
      </c>
      <c r="B60" s="2">
        <v>5</v>
      </c>
      <c r="C60" s="2">
        <v>26.9</v>
      </c>
      <c r="D60" s="2">
        <v>134.5</v>
      </c>
    </row>
    <row r="61" spans="1:4" x14ac:dyDescent="0.2">
      <c r="A61" s="1">
        <v>43565</v>
      </c>
      <c r="B61" s="2">
        <v>5</v>
      </c>
      <c r="C61" s="2">
        <v>26.9</v>
      </c>
      <c r="D61" s="2">
        <v>134.5</v>
      </c>
    </row>
    <row r="62" spans="1:4" x14ac:dyDescent="0.2">
      <c r="A62" s="1">
        <v>43566</v>
      </c>
      <c r="B62" s="2">
        <v>5</v>
      </c>
      <c r="C62" s="2">
        <v>26.9</v>
      </c>
      <c r="D62" s="2">
        <v>134.5</v>
      </c>
    </row>
    <row r="63" spans="1:4" x14ac:dyDescent="0.2">
      <c r="A63" s="1">
        <v>43567</v>
      </c>
      <c r="B63" s="2">
        <v>5</v>
      </c>
      <c r="C63" s="2">
        <v>26.9</v>
      </c>
      <c r="D63" s="2">
        <v>134.5</v>
      </c>
    </row>
    <row r="64" spans="1:4" x14ac:dyDescent="0.2">
      <c r="A64" s="1">
        <v>43570</v>
      </c>
      <c r="B64" s="2">
        <v>5</v>
      </c>
      <c r="C64" s="2">
        <v>26.9</v>
      </c>
      <c r="D64" s="2">
        <v>134.5</v>
      </c>
    </row>
    <row r="65" spans="1:4" x14ac:dyDescent="0.2">
      <c r="A65" s="1">
        <v>43571</v>
      </c>
      <c r="B65" s="2">
        <v>5</v>
      </c>
      <c r="C65" s="2">
        <v>26.9</v>
      </c>
      <c r="D65" s="2">
        <v>134.5</v>
      </c>
    </row>
    <row r="66" spans="1:4" x14ac:dyDescent="0.2">
      <c r="A66" s="1">
        <v>43572</v>
      </c>
      <c r="B66" s="2">
        <v>5</v>
      </c>
      <c r="C66" s="2">
        <v>26.9</v>
      </c>
      <c r="D66" s="2">
        <v>134.5</v>
      </c>
    </row>
    <row r="67" spans="1:4" x14ac:dyDescent="0.2">
      <c r="A67" s="1">
        <v>43573</v>
      </c>
      <c r="B67" s="2">
        <v>5</v>
      </c>
      <c r="C67" s="2">
        <v>26.9</v>
      </c>
      <c r="D67" s="2">
        <v>134.5</v>
      </c>
    </row>
    <row r="68" spans="1:4" x14ac:dyDescent="0.2">
      <c r="A68" s="1">
        <v>43574</v>
      </c>
      <c r="B68" s="2">
        <v>5</v>
      </c>
      <c r="C68" s="2">
        <v>26.9</v>
      </c>
      <c r="D68" s="2">
        <v>134.5</v>
      </c>
    </row>
    <row r="69" spans="1:4" x14ac:dyDescent="0.2">
      <c r="A69" s="1">
        <v>43577</v>
      </c>
      <c r="B69" s="2">
        <v>5</v>
      </c>
      <c r="C69" s="2">
        <v>26.9</v>
      </c>
      <c r="D69" s="2">
        <v>134.5</v>
      </c>
    </row>
    <row r="70" spans="1:4" x14ac:dyDescent="0.2">
      <c r="A70" s="1">
        <v>43578</v>
      </c>
      <c r="B70" s="2">
        <v>5</v>
      </c>
      <c r="C70" s="2">
        <v>26.9</v>
      </c>
      <c r="D70" s="2">
        <v>134.5</v>
      </c>
    </row>
    <row r="71" spans="1:4" x14ac:dyDescent="0.2">
      <c r="A71" s="1">
        <v>43579</v>
      </c>
      <c r="B71" s="2">
        <v>5</v>
      </c>
      <c r="C71" s="2">
        <v>26.9</v>
      </c>
      <c r="D71" s="2">
        <v>134.5</v>
      </c>
    </row>
    <row r="72" spans="1:4" x14ac:dyDescent="0.2">
      <c r="A72" s="1">
        <v>43586</v>
      </c>
      <c r="B72" s="2">
        <v>6</v>
      </c>
      <c r="C72" s="2">
        <v>27.68</v>
      </c>
      <c r="D72" s="2">
        <v>166.08</v>
      </c>
    </row>
    <row r="73" spans="1:4" x14ac:dyDescent="0.2">
      <c r="A73" s="1">
        <v>43587</v>
      </c>
      <c r="B73" s="2">
        <v>6</v>
      </c>
      <c r="C73" s="2">
        <v>27.68</v>
      </c>
      <c r="D73" s="2">
        <v>166.08</v>
      </c>
    </row>
    <row r="74" spans="1:4" x14ac:dyDescent="0.2">
      <c r="A74" s="1">
        <v>43588</v>
      </c>
      <c r="B74" s="2">
        <v>5</v>
      </c>
      <c r="C74" s="2">
        <v>27.68</v>
      </c>
      <c r="D74" s="2">
        <v>138.4</v>
      </c>
    </row>
    <row r="75" spans="1:4" x14ac:dyDescent="0.2">
      <c r="A75" s="1">
        <v>43591</v>
      </c>
      <c r="B75" s="2">
        <v>5</v>
      </c>
      <c r="C75" s="2">
        <v>27.68</v>
      </c>
      <c r="D75" s="2">
        <v>138.4</v>
      </c>
    </row>
    <row r="76" spans="1:4" x14ac:dyDescent="0.2">
      <c r="A76" s="1">
        <v>43592</v>
      </c>
      <c r="B76" s="2">
        <v>5</v>
      </c>
      <c r="C76" s="2">
        <v>27.68</v>
      </c>
      <c r="D76" s="2">
        <v>138.4</v>
      </c>
    </row>
    <row r="77" spans="1:4" x14ac:dyDescent="0.2">
      <c r="A77" s="1">
        <v>43593</v>
      </c>
      <c r="B77" s="2">
        <v>5</v>
      </c>
      <c r="C77" s="2">
        <v>27.68</v>
      </c>
      <c r="D77" s="2">
        <v>138.4</v>
      </c>
    </row>
    <row r="78" spans="1:4" x14ac:dyDescent="0.2">
      <c r="A78" s="1">
        <v>43594</v>
      </c>
      <c r="B78" s="2">
        <v>5</v>
      </c>
      <c r="C78" s="2">
        <v>27.68</v>
      </c>
      <c r="D78" s="2">
        <v>138.4</v>
      </c>
    </row>
    <row r="79" spans="1:4" x14ac:dyDescent="0.2">
      <c r="A79" s="1">
        <v>43595</v>
      </c>
      <c r="B79" s="2">
        <v>5</v>
      </c>
      <c r="C79" s="2">
        <v>27.68</v>
      </c>
      <c r="D79" s="2">
        <v>138.4</v>
      </c>
    </row>
    <row r="80" spans="1:4" x14ac:dyDescent="0.2">
      <c r="A80" s="1">
        <v>43598</v>
      </c>
      <c r="B80" s="2">
        <v>5</v>
      </c>
      <c r="C80" s="2">
        <v>27.68</v>
      </c>
      <c r="D80" s="2">
        <v>138.4</v>
      </c>
    </row>
    <row r="81" spans="1:4" x14ac:dyDescent="0.2">
      <c r="A81" s="1">
        <v>43599</v>
      </c>
      <c r="B81" s="2">
        <v>5</v>
      </c>
      <c r="C81" s="2">
        <v>27.68</v>
      </c>
      <c r="D81" s="2">
        <v>138.4</v>
      </c>
    </row>
    <row r="82" spans="1:4" x14ac:dyDescent="0.2">
      <c r="A82" s="1">
        <v>43600</v>
      </c>
      <c r="B82" s="2">
        <v>5</v>
      </c>
      <c r="C82" s="2">
        <v>27.68</v>
      </c>
      <c r="D82" s="2">
        <v>138.4</v>
      </c>
    </row>
    <row r="83" spans="1:4" x14ac:dyDescent="0.2">
      <c r="A83" s="1">
        <v>43601</v>
      </c>
      <c r="B83" s="2">
        <v>5</v>
      </c>
      <c r="C83" s="2">
        <v>27.68</v>
      </c>
      <c r="D83" s="2">
        <v>138.4</v>
      </c>
    </row>
    <row r="84" spans="1:4" x14ac:dyDescent="0.2">
      <c r="A84" s="1">
        <v>43602</v>
      </c>
      <c r="B84" s="2">
        <v>5</v>
      </c>
      <c r="C84" s="2">
        <v>27.68</v>
      </c>
      <c r="D84" s="2">
        <v>138.4</v>
      </c>
    </row>
    <row r="85" spans="1:4" x14ac:dyDescent="0.2">
      <c r="A85" s="1">
        <v>43605</v>
      </c>
      <c r="B85" s="2">
        <v>5</v>
      </c>
      <c r="C85" s="2">
        <v>27.68</v>
      </c>
      <c r="D85" s="2">
        <v>138.4</v>
      </c>
    </row>
    <row r="86" spans="1:4" x14ac:dyDescent="0.2">
      <c r="A86" s="1">
        <v>43606</v>
      </c>
      <c r="B86" s="2">
        <v>5</v>
      </c>
      <c r="C86" s="2">
        <v>27.68</v>
      </c>
      <c r="D86" s="2">
        <v>138.4</v>
      </c>
    </row>
    <row r="87" spans="1:4" x14ac:dyDescent="0.2">
      <c r="A87" s="1">
        <v>43607</v>
      </c>
      <c r="B87" s="2">
        <v>5</v>
      </c>
      <c r="C87" s="2">
        <v>27.68</v>
      </c>
      <c r="D87" s="2">
        <v>138.4</v>
      </c>
    </row>
    <row r="88" spans="1:4" x14ac:dyDescent="0.2">
      <c r="A88" s="1">
        <v>43608</v>
      </c>
      <c r="B88" s="2">
        <v>5</v>
      </c>
      <c r="C88" s="2">
        <v>27.68</v>
      </c>
      <c r="D88" s="2">
        <v>138.4</v>
      </c>
    </row>
    <row r="89" spans="1:4" x14ac:dyDescent="0.2">
      <c r="A89" s="1">
        <v>43609</v>
      </c>
      <c r="B89" s="2">
        <v>5</v>
      </c>
      <c r="C89" s="2">
        <v>27.68</v>
      </c>
      <c r="D89" s="2">
        <v>138.4</v>
      </c>
    </row>
    <row r="90" spans="1:4" x14ac:dyDescent="0.2">
      <c r="A90" s="1">
        <v>43619</v>
      </c>
      <c r="B90" s="2">
        <v>5</v>
      </c>
      <c r="C90" s="2">
        <v>26.22</v>
      </c>
      <c r="D90" s="2">
        <v>131.1</v>
      </c>
    </row>
    <row r="91" spans="1:4" x14ac:dyDescent="0.2">
      <c r="A91" s="1">
        <v>43620</v>
      </c>
      <c r="B91" s="2">
        <v>5</v>
      </c>
      <c r="C91" s="2">
        <v>26.22</v>
      </c>
      <c r="D91" s="2">
        <v>131.1</v>
      </c>
    </row>
    <row r="92" spans="1:4" x14ac:dyDescent="0.2">
      <c r="A92" s="1">
        <v>43621</v>
      </c>
      <c r="B92" s="2">
        <v>5</v>
      </c>
      <c r="C92" s="2">
        <v>26.22</v>
      </c>
      <c r="D92" s="2">
        <v>131.1</v>
      </c>
    </row>
    <row r="93" spans="1:4" x14ac:dyDescent="0.2">
      <c r="A93" s="1">
        <v>43622</v>
      </c>
      <c r="B93" s="2">
        <v>5</v>
      </c>
      <c r="C93" s="2">
        <v>26.22</v>
      </c>
      <c r="D93" s="2">
        <v>131.1</v>
      </c>
    </row>
    <row r="94" spans="1:4" x14ac:dyDescent="0.2">
      <c r="A94" s="1">
        <v>43623</v>
      </c>
      <c r="B94" s="2">
        <v>5</v>
      </c>
      <c r="C94" s="2">
        <v>26.22</v>
      </c>
      <c r="D94" s="2">
        <v>131.1</v>
      </c>
    </row>
    <row r="95" spans="1:4" x14ac:dyDescent="0.2">
      <c r="A95" s="1">
        <v>43626</v>
      </c>
      <c r="B95" s="2">
        <v>5</v>
      </c>
      <c r="C95" s="2">
        <v>26.22</v>
      </c>
      <c r="D95" s="2">
        <v>131.1</v>
      </c>
    </row>
    <row r="96" spans="1:4" x14ac:dyDescent="0.2">
      <c r="A96" s="1">
        <v>43627</v>
      </c>
      <c r="B96" s="2">
        <v>5</v>
      </c>
      <c r="C96" s="2">
        <v>26.22</v>
      </c>
      <c r="D96" s="2">
        <v>131.1</v>
      </c>
    </row>
    <row r="97" spans="1:4" x14ac:dyDescent="0.2">
      <c r="A97" s="1">
        <v>43628</v>
      </c>
      <c r="B97" s="2">
        <v>5</v>
      </c>
      <c r="C97" s="2">
        <v>26.22</v>
      </c>
      <c r="D97" s="2">
        <v>131.1</v>
      </c>
    </row>
    <row r="98" spans="1:4" x14ac:dyDescent="0.2">
      <c r="A98" s="1">
        <v>43629</v>
      </c>
      <c r="B98" s="2">
        <v>5</v>
      </c>
      <c r="C98" s="2">
        <v>26.22</v>
      </c>
      <c r="D98" s="2">
        <v>131.1</v>
      </c>
    </row>
    <row r="99" spans="1:4" x14ac:dyDescent="0.2">
      <c r="A99" s="1">
        <v>43630</v>
      </c>
      <c r="B99" s="2">
        <v>5</v>
      </c>
      <c r="C99" s="2">
        <v>26.22</v>
      </c>
      <c r="D99" s="2">
        <v>131.1</v>
      </c>
    </row>
    <row r="100" spans="1:4" x14ac:dyDescent="0.2">
      <c r="A100" s="1">
        <v>43633</v>
      </c>
      <c r="B100" s="2">
        <v>5</v>
      </c>
      <c r="C100" s="2">
        <v>26.22</v>
      </c>
      <c r="D100" s="2">
        <v>131.1</v>
      </c>
    </row>
    <row r="101" spans="1:4" x14ac:dyDescent="0.2">
      <c r="A101" s="1">
        <v>43634</v>
      </c>
      <c r="B101" s="2">
        <v>5</v>
      </c>
      <c r="C101" s="2">
        <v>26.22</v>
      </c>
      <c r="D101" s="2">
        <v>131.1</v>
      </c>
    </row>
    <row r="102" spans="1:4" x14ac:dyDescent="0.2">
      <c r="A102" s="1">
        <v>43635</v>
      </c>
      <c r="B102" s="2">
        <v>5</v>
      </c>
      <c r="C102" s="2">
        <v>26.22</v>
      </c>
      <c r="D102" s="2">
        <v>131.1</v>
      </c>
    </row>
    <row r="103" spans="1:4" x14ac:dyDescent="0.2">
      <c r="A103" s="1">
        <v>43636</v>
      </c>
      <c r="B103" s="2">
        <v>5</v>
      </c>
      <c r="C103" s="2">
        <v>26.22</v>
      </c>
      <c r="D103" s="2">
        <v>131.1</v>
      </c>
    </row>
    <row r="104" spans="1:4" x14ac:dyDescent="0.2">
      <c r="A104" s="1">
        <v>43637</v>
      </c>
      <c r="B104" s="2">
        <v>5</v>
      </c>
      <c r="C104" s="2">
        <v>26.22</v>
      </c>
      <c r="D104" s="2">
        <v>131.1</v>
      </c>
    </row>
    <row r="105" spans="1:4" x14ac:dyDescent="0.2">
      <c r="A105" s="1">
        <v>43640</v>
      </c>
      <c r="B105" s="2">
        <v>5</v>
      </c>
      <c r="C105" s="2">
        <v>26.22</v>
      </c>
      <c r="D105" s="2">
        <v>131.1</v>
      </c>
    </row>
    <row r="106" spans="1:4" x14ac:dyDescent="0.2">
      <c r="A106" s="1">
        <v>43641</v>
      </c>
      <c r="B106" s="2">
        <v>5</v>
      </c>
      <c r="C106" s="2">
        <v>26.22</v>
      </c>
      <c r="D106" s="2">
        <v>131.1</v>
      </c>
    </row>
    <row r="107" spans="1:4" x14ac:dyDescent="0.2">
      <c r="A107" s="1">
        <v>43642</v>
      </c>
      <c r="B107" s="2">
        <v>4</v>
      </c>
      <c r="C107" s="2">
        <v>26.22</v>
      </c>
      <c r="D107" s="2">
        <v>104.88</v>
      </c>
    </row>
    <row r="108" spans="1:4" x14ac:dyDescent="0.2">
      <c r="A108" s="1">
        <v>43647</v>
      </c>
      <c r="B108" s="2">
        <v>5</v>
      </c>
      <c r="C108" s="2">
        <v>27.68</v>
      </c>
      <c r="D108" s="2">
        <v>138.4</v>
      </c>
    </row>
    <row r="109" spans="1:4" x14ac:dyDescent="0.2">
      <c r="A109" s="1">
        <v>43648</v>
      </c>
      <c r="B109" s="2">
        <v>5</v>
      </c>
      <c r="C109" s="2">
        <v>27.68</v>
      </c>
      <c r="D109" s="2">
        <v>138.4</v>
      </c>
    </row>
    <row r="110" spans="1:4" x14ac:dyDescent="0.2">
      <c r="A110" s="1">
        <v>43649</v>
      </c>
      <c r="B110" s="2">
        <v>5</v>
      </c>
      <c r="C110" s="2">
        <v>27.68</v>
      </c>
      <c r="D110" s="2">
        <v>138.4</v>
      </c>
    </row>
    <row r="111" spans="1:4" x14ac:dyDescent="0.2">
      <c r="A111" s="1">
        <v>43650</v>
      </c>
      <c r="B111" s="2">
        <v>5</v>
      </c>
      <c r="C111" s="2">
        <v>27.68</v>
      </c>
      <c r="D111" s="2">
        <v>138.4</v>
      </c>
    </row>
    <row r="112" spans="1:4" x14ac:dyDescent="0.2">
      <c r="A112" s="1">
        <v>43651</v>
      </c>
      <c r="B112" s="2">
        <v>5</v>
      </c>
      <c r="C112" s="2">
        <v>27.68</v>
      </c>
      <c r="D112" s="2">
        <v>138.4</v>
      </c>
    </row>
    <row r="113" spans="1:4" x14ac:dyDescent="0.2">
      <c r="A113" s="1">
        <v>43654</v>
      </c>
      <c r="B113" s="2">
        <v>5</v>
      </c>
      <c r="C113" s="2">
        <v>27.68</v>
      </c>
      <c r="D113" s="2">
        <v>138.4</v>
      </c>
    </row>
    <row r="114" spans="1:4" x14ac:dyDescent="0.2">
      <c r="A114" s="1">
        <v>43655</v>
      </c>
      <c r="B114" s="2">
        <v>5</v>
      </c>
      <c r="C114" s="2">
        <v>27.68</v>
      </c>
      <c r="D114" s="2">
        <v>138.4</v>
      </c>
    </row>
    <row r="115" spans="1:4" x14ac:dyDescent="0.2">
      <c r="A115" s="1">
        <v>43656</v>
      </c>
      <c r="B115" s="2">
        <v>5</v>
      </c>
      <c r="C115" s="2">
        <v>27.68</v>
      </c>
      <c r="D115" s="2">
        <v>138.4</v>
      </c>
    </row>
    <row r="116" spans="1:4" x14ac:dyDescent="0.2">
      <c r="A116" s="1">
        <v>43657</v>
      </c>
      <c r="B116" s="2">
        <v>5</v>
      </c>
      <c r="C116" s="2">
        <v>27.68</v>
      </c>
      <c r="D116" s="2">
        <v>138.4</v>
      </c>
    </row>
    <row r="117" spans="1:4" x14ac:dyDescent="0.2">
      <c r="A117" s="1">
        <v>43658</v>
      </c>
      <c r="B117" s="2">
        <v>5</v>
      </c>
      <c r="C117" s="2">
        <v>27.68</v>
      </c>
      <c r="D117" s="2">
        <v>138.4</v>
      </c>
    </row>
    <row r="118" spans="1:4" x14ac:dyDescent="0.2">
      <c r="A118" s="1">
        <v>43661</v>
      </c>
      <c r="B118" s="2">
        <v>5</v>
      </c>
      <c r="C118" s="2">
        <v>27.68</v>
      </c>
      <c r="D118" s="2">
        <v>138.4</v>
      </c>
    </row>
    <row r="119" spans="1:4" x14ac:dyDescent="0.2">
      <c r="A119" s="1">
        <v>43662</v>
      </c>
      <c r="B119" s="2">
        <v>5</v>
      </c>
      <c r="C119" s="2">
        <v>27.68</v>
      </c>
      <c r="D119" s="2">
        <v>138.4</v>
      </c>
    </row>
    <row r="120" spans="1:4" x14ac:dyDescent="0.2">
      <c r="A120" s="1">
        <v>43663</v>
      </c>
      <c r="B120" s="2">
        <v>5</v>
      </c>
      <c r="C120" s="2">
        <v>27.68</v>
      </c>
      <c r="D120" s="2">
        <v>138.4</v>
      </c>
    </row>
    <row r="121" spans="1:4" x14ac:dyDescent="0.2">
      <c r="A121" s="1">
        <v>43664</v>
      </c>
      <c r="B121" s="2">
        <v>5</v>
      </c>
      <c r="C121" s="2">
        <v>27.68</v>
      </c>
      <c r="D121" s="2">
        <v>138.4</v>
      </c>
    </row>
    <row r="122" spans="1:4" x14ac:dyDescent="0.2">
      <c r="A122" s="1">
        <v>43665</v>
      </c>
      <c r="B122" s="2">
        <v>5</v>
      </c>
      <c r="C122" s="2">
        <v>27.68</v>
      </c>
      <c r="D122" s="2">
        <v>138.4</v>
      </c>
    </row>
    <row r="123" spans="1:4" x14ac:dyDescent="0.2">
      <c r="A123" s="1">
        <v>43668</v>
      </c>
      <c r="B123" s="2">
        <v>5</v>
      </c>
      <c r="C123" s="2">
        <v>27.68</v>
      </c>
      <c r="D123" s="2">
        <v>138.4</v>
      </c>
    </row>
    <row r="124" spans="1:4" x14ac:dyDescent="0.2">
      <c r="A124" s="1">
        <v>43669</v>
      </c>
      <c r="B124" s="2">
        <v>5</v>
      </c>
      <c r="C124" s="2">
        <v>27.68</v>
      </c>
      <c r="D124" s="2">
        <v>138.4</v>
      </c>
    </row>
    <row r="125" spans="1:4" x14ac:dyDescent="0.2">
      <c r="A125" s="1">
        <v>43670</v>
      </c>
      <c r="B125" s="2">
        <v>5</v>
      </c>
      <c r="C125" s="2">
        <v>27.68</v>
      </c>
      <c r="D125" s="2">
        <v>138.4</v>
      </c>
    </row>
    <row r="126" spans="1:4" x14ac:dyDescent="0.2">
      <c r="A126" s="1">
        <v>43671</v>
      </c>
      <c r="B126" s="2">
        <v>4</v>
      </c>
      <c r="C126" s="2">
        <v>27.68</v>
      </c>
      <c r="D126" s="2">
        <v>110.72</v>
      </c>
    </row>
    <row r="127" spans="1:4" x14ac:dyDescent="0.2">
      <c r="A127" s="1">
        <v>43678</v>
      </c>
      <c r="B127" s="2">
        <v>5</v>
      </c>
      <c r="C127" s="2">
        <v>26.49</v>
      </c>
      <c r="D127" s="2">
        <v>132.44999999999999</v>
      </c>
    </row>
    <row r="128" spans="1:4" x14ac:dyDescent="0.2">
      <c r="A128" s="1">
        <v>43679</v>
      </c>
      <c r="B128" s="2">
        <v>5</v>
      </c>
      <c r="C128" s="2">
        <v>26.49</v>
      </c>
      <c r="D128" s="2">
        <v>132.44999999999999</v>
      </c>
    </row>
    <row r="129" spans="1:4" x14ac:dyDescent="0.2">
      <c r="A129" s="1">
        <v>43682</v>
      </c>
      <c r="B129" s="2">
        <v>5</v>
      </c>
      <c r="C129" s="2">
        <v>26.49</v>
      </c>
      <c r="D129" s="2">
        <v>132.44999999999999</v>
      </c>
    </row>
    <row r="130" spans="1:4" x14ac:dyDescent="0.2">
      <c r="A130" s="1">
        <v>43683</v>
      </c>
      <c r="B130" s="2">
        <v>5</v>
      </c>
      <c r="C130" s="2">
        <v>26.49</v>
      </c>
      <c r="D130" s="2">
        <v>132.44999999999999</v>
      </c>
    </row>
    <row r="131" spans="1:4" x14ac:dyDescent="0.2">
      <c r="A131" s="1">
        <v>43684</v>
      </c>
      <c r="B131" s="2">
        <v>5</v>
      </c>
      <c r="C131" s="2">
        <v>26.49</v>
      </c>
      <c r="D131" s="2">
        <v>132.44999999999999</v>
      </c>
    </row>
    <row r="132" spans="1:4" x14ac:dyDescent="0.2">
      <c r="A132" s="1">
        <v>43685</v>
      </c>
      <c r="B132" s="2">
        <v>5</v>
      </c>
      <c r="C132" s="2">
        <v>26.49</v>
      </c>
      <c r="D132" s="2">
        <v>132.44999999999999</v>
      </c>
    </row>
    <row r="133" spans="1:4" x14ac:dyDescent="0.2">
      <c r="A133" s="1">
        <v>43686</v>
      </c>
      <c r="B133" s="2">
        <v>5</v>
      </c>
      <c r="C133" s="2">
        <v>26.49</v>
      </c>
      <c r="D133" s="2">
        <v>132.44999999999999</v>
      </c>
    </row>
    <row r="134" spans="1:4" x14ac:dyDescent="0.2">
      <c r="A134" s="1">
        <v>43689</v>
      </c>
      <c r="B134" s="2">
        <v>5</v>
      </c>
      <c r="C134" s="2">
        <v>26.49</v>
      </c>
      <c r="D134" s="2">
        <v>132.44999999999999</v>
      </c>
    </row>
    <row r="135" spans="1:4" x14ac:dyDescent="0.2">
      <c r="A135" s="1">
        <v>43690</v>
      </c>
      <c r="B135" s="2">
        <v>5</v>
      </c>
      <c r="C135" s="2">
        <v>26.49</v>
      </c>
      <c r="D135" s="2">
        <v>132.44999999999999</v>
      </c>
    </row>
    <row r="136" spans="1:4" x14ac:dyDescent="0.2">
      <c r="A136" s="1">
        <v>43691</v>
      </c>
      <c r="B136" s="2">
        <v>5</v>
      </c>
      <c r="C136" s="2">
        <v>26.49</v>
      </c>
      <c r="D136" s="2">
        <v>132.44999999999999</v>
      </c>
    </row>
    <row r="137" spans="1:4" x14ac:dyDescent="0.2">
      <c r="A137" s="1">
        <v>43692</v>
      </c>
      <c r="B137" s="2">
        <v>5</v>
      </c>
      <c r="C137" s="2">
        <v>26.49</v>
      </c>
      <c r="D137" s="2">
        <v>132.44999999999999</v>
      </c>
    </row>
    <row r="138" spans="1:4" x14ac:dyDescent="0.2">
      <c r="A138" s="1">
        <v>43693</v>
      </c>
      <c r="B138" s="2">
        <v>5</v>
      </c>
      <c r="C138" s="2">
        <v>26.49</v>
      </c>
      <c r="D138" s="2">
        <v>132.44999999999999</v>
      </c>
    </row>
    <row r="139" spans="1:4" x14ac:dyDescent="0.2">
      <c r="A139" s="1">
        <v>43696</v>
      </c>
      <c r="B139" s="2">
        <v>5</v>
      </c>
      <c r="C139" s="2">
        <v>26.49</v>
      </c>
      <c r="D139" s="2">
        <v>132.44999999999999</v>
      </c>
    </row>
    <row r="140" spans="1:4" x14ac:dyDescent="0.2">
      <c r="A140" s="1">
        <v>43697</v>
      </c>
      <c r="B140" s="2">
        <v>5</v>
      </c>
      <c r="C140" s="2">
        <v>26.49</v>
      </c>
      <c r="D140" s="2">
        <v>132.44999999999999</v>
      </c>
    </row>
    <row r="141" spans="1:4" x14ac:dyDescent="0.2">
      <c r="A141" s="1">
        <v>43698</v>
      </c>
      <c r="B141" s="2">
        <v>5</v>
      </c>
      <c r="C141" s="2">
        <v>26.49</v>
      </c>
      <c r="D141" s="2">
        <v>132.44999999999999</v>
      </c>
    </row>
    <row r="142" spans="1:4" x14ac:dyDescent="0.2">
      <c r="A142" s="1">
        <v>43699</v>
      </c>
      <c r="B142" s="2">
        <v>5</v>
      </c>
      <c r="C142" s="2">
        <v>26.49</v>
      </c>
      <c r="D142" s="2">
        <v>132.44999999999999</v>
      </c>
    </row>
    <row r="143" spans="1:4" x14ac:dyDescent="0.2">
      <c r="A143" s="1">
        <v>43710</v>
      </c>
      <c r="B143" s="2">
        <v>5</v>
      </c>
      <c r="C143" s="2">
        <v>26.39</v>
      </c>
      <c r="D143" s="2">
        <v>131.94999999999999</v>
      </c>
    </row>
    <row r="144" spans="1:4" x14ac:dyDescent="0.2">
      <c r="A144" s="1">
        <v>43711</v>
      </c>
      <c r="B144" s="2">
        <v>5</v>
      </c>
      <c r="C144" s="2">
        <v>26.39</v>
      </c>
      <c r="D144" s="2">
        <v>131.94999999999999</v>
      </c>
    </row>
    <row r="145" spans="1:4" x14ac:dyDescent="0.2">
      <c r="A145" s="1">
        <v>43712</v>
      </c>
      <c r="B145" s="2">
        <v>5</v>
      </c>
      <c r="C145" s="2">
        <v>26.39</v>
      </c>
      <c r="D145" s="2">
        <v>131.94999999999999</v>
      </c>
    </row>
    <row r="146" spans="1:4" x14ac:dyDescent="0.2">
      <c r="A146" s="1">
        <v>43713</v>
      </c>
      <c r="B146" s="2">
        <v>5</v>
      </c>
      <c r="C146" s="2">
        <v>26.39</v>
      </c>
      <c r="D146" s="2">
        <v>131.94999999999999</v>
      </c>
    </row>
    <row r="147" spans="1:4" x14ac:dyDescent="0.2">
      <c r="A147" s="1">
        <v>43714</v>
      </c>
      <c r="B147" s="2">
        <v>5</v>
      </c>
      <c r="C147" s="2">
        <v>26.39</v>
      </c>
      <c r="D147" s="2">
        <v>131.94999999999999</v>
      </c>
    </row>
    <row r="148" spans="1:4" x14ac:dyDescent="0.2">
      <c r="A148" s="1">
        <v>43717</v>
      </c>
      <c r="B148" s="2">
        <v>5</v>
      </c>
      <c r="C148" s="2">
        <v>26.39</v>
      </c>
      <c r="D148" s="2">
        <v>131.94999999999999</v>
      </c>
    </row>
    <row r="149" spans="1:4" x14ac:dyDescent="0.2">
      <c r="A149" s="1">
        <v>43718</v>
      </c>
      <c r="B149" s="2">
        <v>5</v>
      </c>
      <c r="C149" s="2">
        <v>26.39</v>
      </c>
      <c r="D149" s="2">
        <v>131.94999999999999</v>
      </c>
    </row>
    <row r="150" spans="1:4" x14ac:dyDescent="0.2">
      <c r="A150" s="1">
        <v>43719</v>
      </c>
      <c r="B150" s="2">
        <v>5</v>
      </c>
      <c r="C150" s="2">
        <v>26.39</v>
      </c>
      <c r="D150" s="2">
        <v>131.94999999999999</v>
      </c>
    </row>
    <row r="151" spans="1:4" x14ac:dyDescent="0.2">
      <c r="A151" s="1">
        <v>43720</v>
      </c>
      <c r="B151" s="2">
        <v>5</v>
      </c>
      <c r="C151" s="2">
        <v>26.39</v>
      </c>
      <c r="D151" s="2">
        <v>131.94999999999999</v>
      </c>
    </row>
    <row r="152" spans="1:4" x14ac:dyDescent="0.2">
      <c r="A152" s="1">
        <v>43721</v>
      </c>
      <c r="B152" s="2">
        <v>5</v>
      </c>
      <c r="C152" s="2">
        <v>26.39</v>
      </c>
      <c r="D152" s="2">
        <v>131.94999999999999</v>
      </c>
    </row>
    <row r="153" spans="1:4" x14ac:dyDescent="0.2">
      <c r="A153" s="1">
        <v>43724</v>
      </c>
      <c r="B153" s="2">
        <v>5</v>
      </c>
      <c r="C153" s="2">
        <v>26.39</v>
      </c>
      <c r="D153" s="2">
        <v>131.94999999999999</v>
      </c>
    </row>
    <row r="154" spans="1:4" x14ac:dyDescent="0.2">
      <c r="A154" s="1">
        <v>43725</v>
      </c>
      <c r="B154" s="2">
        <v>5</v>
      </c>
      <c r="C154" s="2">
        <v>26.39</v>
      </c>
      <c r="D154" s="2">
        <v>131.94999999999999</v>
      </c>
    </row>
    <row r="155" spans="1:4" x14ac:dyDescent="0.2">
      <c r="A155" s="1">
        <v>43726</v>
      </c>
      <c r="B155" s="2">
        <v>5</v>
      </c>
      <c r="C155" s="2">
        <v>26.39</v>
      </c>
      <c r="D155" s="2">
        <v>131.94999999999999</v>
      </c>
    </row>
    <row r="156" spans="1:4" x14ac:dyDescent="0.2">
      <c r="A156" s="1">
        <v>43727</v>
      </c>
      <c r="B156" s="2">
        <v>5</v>
      </c>
      <c r="C156" s="2">
        <v>26.39</v>
      </c>
      <c r="D156" s="2">
        <v>131.94999999999999</v>
      </c>
    </row>
    <row r="157" spans="1:4" x14ac:dyDescent="0.2">
      <c r="A157" s="1">
        <v>43728</v>
      </c>
      <c r="B157" s="2">
        <v>5</v>
      </c>
      <c r="C157" s="2">
        <v>26.39</v>
      </c>
      <c r="D157" s="2">
        <v>131.94999999999999</v>
      </c>
    </row>
    <row r="158" spans="1:4" x14ac:dyDescent="0.2">
      <c r="A158" s="1">
        <v>43731</v>
      </c>
      <c r="B158" s="2">
        <v>5</v>
      </c>
      <c r="C158" s="2">
        <v>26.39</v>
      </c>
      <c r="D158" s="2">
        <v>131.94999999999999</v>
      </c>
    </row>
    <row r="159" spans="1:4" x14ac:dyDescent="0.2">
      <c r="A159" s="1">
        <v>43732</v>
      </c>
      <c r="B159" s="2">
        <v>5</v>
      </c>
      <c r="C159" s="2">
        <v>26.39</v>
      </c>
      <c r="D159" s="2">
        <v>131.94999999999999</v>
      </c>
    </row>
    <row r="160" spans="1:4" x14ac:dyDescent="0.2">
      <c r="A160" s="1">
        <v>43733</v>
      </c>
      <c r="B160" s="2">
        <v>5</v>
      </c>
      <c r="C160" s="2">
        <v>26.39</v>
      </c>
      <c r="D160" s="2">
        <v>131.94999999999999</v>
      </c>
    </row>
    <row r="161" spans="1:4" x14ac:dyDescent="0.2">
      <c r="A161" s="1">
        <v>43739</v>
      </c>
      <c r="B161" s="2">
        <v>6</v>
      </c>
      <c r="C161" s="2">
        <v>26.55</v>
      </c>
      <c r="D161" s="2">
        <v>159.30000000000001</v>
      </c>
    </row>
    <row r="162" spans="1:4" x14ac:dyDescent="0.2">
      <c r="A162" s="1">
        <v>43740</v>
      </c>
      <c r="B162" s="2">
        <v>5</v>
      </c>
      <c r="C162" s="2">
        <v>26.55</v>
      </c>
      <c r="D162" s="2">
        <v>132.75</v>
      </c>
    </row>
    <row r="163" spans="1:4" x14ac:dyDescent="0.2">
      <c r="A163" s="1">
        <v>43741</v>
      </c>
      <c r="B163" s="2">
        <v>5</v>
      </c>
      <c r="C163" s="2">
        <v>26.55</v>
      </c>
      <c r="D163" s="2">
        <v>132.75</v>
      </c>
    </row>
    <row r="164" spans="1:4" x14ac:dyDescent="0.2">
      <c r="A164" s="1">
        <v>43742</v>
      </c>
      <c r="B164" s="2">
        <v>5</v>
      </c>
      <c r="C164" s="2">
        <v>26.55</v>
      </c>
      <c r="D164" s="2">
        <v>132.75</v>
      </c>
    </row>
    <row r="165" spans="1:4" x14ac:dyDescent="0.2">
      <c r="A165" s="1">
        <v>43745</v>
      </c>
      <c r="B165" s="2">
        <v>5</v>
      </c>
      <c r="C165" s="2">
        <v>26.55</v>
      </c>
      <c r="D165" s="2">
        <v>132.75</v>
      </c>
    </row>
    <row r="166" spans="1:4" x14ac:dyDescent="0.2">
      <c r="A166" s="1">
        <v>43746</v>
      </c>
      <c r="B166" s="2">
        <v>5</v>
      </c>
      <c r="C166" s="2">
        <v>26.55</v>
      </c>
      <c r="D166" s="2">
        <v>132.75</v>
      </c>
    </row>
    <row r="167" spans="1:4" x14ac:dyDescent="0.2">
      <c r="A167" s="1">
        <v>43747</v>
      </c>
      <c r="B167" s="2">
        <v>5</v>
      </c>
      <c r="C167" s="2">
        <v>26.55</v>
      </c>
      <c r="D167" s="2">
        <v>132.75</v>
      </c>
    </row>
    <row r="168" spans="1:4" x14ac:dyDescent="0.2">
      <c r="A168" s="1">
        <v>43748</v>
      </c>
      <c r="B168" s="2">
        <v>5</v>
      </c>
      <c r="C168" s="2">
        <v>26.55</v>
      </c>
      <c r="D168" s="2">
        <v>132.75</v>
      </c>
    </row>
    <row r="169" spans="1:4" x14ac:dyDescent="0.2">
      <c r="A169" s="1">
        <v>43749</v>
      </c>
      <c r="B169" s="2">
        <v>5</v>
      </c>
      <c r="C169" s="2">
        <v>26.55</v>
      </c>
      <c r="D169" s="2">
        <v>132.75</v>
      </c>
    </row>
    <row r="170" spans="1:4" x14ac:dyDescent="0.2">
      <c r="A170" s="1">
        <v>43752</v>
      </c>
      <c r="B170" s="2">
        <v>5</v>
      </c>
      <c r="C170" s="2">
        <v>26.55</v>
      </c>
      <c r="D170" s="2">
        <v>132.75</v>
      </c>
    </row>
    <row r="171" spans="1:4" x14ac:dyDescent="0.2">
      <c r="A171" s="1">
        <v>43753</v>
      </c>
      <c r="B171" s="2">
        <v>5</v>
      </c>
      <c r="C171" s="2">
        <v>26.55</v>
      </c>
      <c r="D171" s="2">
        <v>132.75</v>
      </c>
    </row>
    <row r="172" spans="1:4" x14ac:dyDescent="0.2">
      <c r="A172" s="1">
        <v>43754</v>
      </c>
      <c r="B172" s="2">
        <v>5</v>
      </c>
      <c r="C172" s="2">
        <v>26.55</v>
      </c>
      <c r="D172" s="2">
        <v>132.75</v>
      </c>
    </row>
    <row r="173" spans="1:4" x14ac:dyDescent="0.2">
      <c r="A173" s="1">
        <v>43755</v>
      </c>
      <c r="B173" s="2">
        <v>5</v>
      </c>
      <c r="C173" s="2">
        <v>26.55</v>
      </c>
      <c r="D173" s="2">
        <v>132.75</v>
      </c>
    </row>
    <row r="174" spans="1:4" x14ac:dyDescent="0.2">
      <c r="A174" s="1">
        <v>43756</v>
      </c>
      <c r="B174" s="2">
        <v>5</v>
      </c>
      <c r="C174" s="2">
        <v>26.55</v>
      </c>
      <c r="D174" s="2">
        <v>132.75</v>
      </c>
    </row>
    <row r="175" spans="1:4" x14ac:dyDescent="0.2">
      <c r="A175" s="1">
        <v>43759</v>
      </c>
      <c r="B175" s="2">
        <v>5</v>
      </c>
      <c r="C175" s="2">
        <v>26.55</v>
      </c>
      <c r="D175" s="2">
        <v>132.75</v>
      </c>
    </row>
    <row r="176" spans="1:4" x14ac:dyDescent="0.2">
      <c r="A176" s="1">
        <v>43760</v>
      </c>
      <c r="B176" s="2">
        <v>5</v>
      </c>
      <c r="C176" s="2">
        <v>26.55</v>
      </c>
      <c r="D176" s="2">
        <v>132.75</v>
      </c>
    </row>
    <row r="177" spans="1:4" x14ac:dyDescent="0.2">
      <c r="A177" s="1">
        <v>43761</v>
      </c>
      <c r="B177" s="2">
        <v>5</v>
      </c>
      <c r="C177" s="2">
        <v>26.55</v>
      </c>
      <c r="D177" s="2">
        <v>132.75</v>
      </c>
    </row>
    <row r="178" spans="1:4" x14ac:dyDescent="0.2">
      <c r="A178" s="1">
        <v>43762</v>
      </c>
      <c r="B178" s="2">
        <v>5</v>
      </c>
      <c r="C178" s="2">
        <v>26.55</v>
      </c>
      <c r="D178" s="2">
        <v>132.75</v>
      </c>
    </row>
    <row r="179" spans="1:4" x14ac:dyDescent="0.2">
      <c r="A179" s="1">
        <v>43763</v>
      </c>
      <c r="B179" s="2">
        <v>5</v>
      </c>
      <c r="C179" s="2">
        <v>26.55</v>
      </c>
      <c r="D179" s="2">
        <v>132.75</v>
      </c>
    </row>
    <row r="180" spans="1:4" x14ac:dyDescent="0.2">
      <c r="A180" s="1">
        <v>43770</v>
      </c>
      <c r="B180" s="2">
        <v>6</v>
      </c>
      <c r="C180" s="2">
        <v>27.17</v>
      </c>
      <c r="D180" s="2">
        <v>163.02000000000001</v>
      </c>
    </row>
    <row r="181" spans="1:4" x14ac:dyDescent="0.2">
      <c r="A181" s="1">
        <v>43773</v>
      </c>
      <c r="B181" s="2">
        <v>6</v>
      </c>
      <c r="C181" s="2">
        <v>27.17</v>
      </c>
      <c r="D181" s="2">
        <v>163.02000000000001</v>
      </c>
    </row>
    <row r="182" spans="1:4" x14ac:dyDescent="0.2">
      <c r="A182" s="1">
        <v>43774</v>
      </c>
      <c r="B182" s="2">
        <v>5</v>
      </c>
      <c r="C182" s="2">
        <v>27.17</v>
      </c>
      <c r="D182" s="2">
        <v>135.85</v>
      </c>
    </row>
    <row r="183" spans="1:4" x14ac:dyDescent="0.2">
      <c r="A183" s="1">
        <v>43775</v>
      </c>
      <c r="B183" s="2">
        <v>5</v>
      </c>
      <c r="C183" s="2">
        <v>27.17</v>
      </c>
      <c r="D183" s="2">
        <v>135.85</v>
      </c>
    </row>
    <row r="184" spans="1:4" x14ac:dyDescent="0.2">
      <c r="A184" s="1">
        <v>43776</v>
      </c>
      <c r="B184" s="2">
        <v>5</v>
      </c>
      <c r="C184" s="2">
        <v>27.17</v>
      </c>
      <c r="D184" s="2">
        <v>135.85</v>
      </c>
    </row>
    <row r="185" spans="1:4" x14ac:dyDescent="0.2">
      <c r="A185" s="1">
        <v>43777</v>
      </c>
      <c r="B185" s="2">
        <v>5</v>
      </c>
      <c r="C185" s="2">
        <v>27.17</v>
      </c>
      <c r="D185" s="2">
        <v>135.85</v>
      </c>
    </row>
    <row r="186" spans="1:4" x14ac:dyDescent="0.2">
      <c r="A186" s="1">
        <v>43780</v>
      </c>
      <c r="B186" s="2">
        <v>5</v>
      </c>
      <c r="C186" s="2">
        <v>27.17</v>
      </c>
      <c r="D186" s="2">
        <v>135.85</v>
      </c>
    </row>
    <row r="187" spans="1:4" x14ac:dyDescent="0.2">
      <c r="A187" s="1">
        <v>43781</v>
      </c>
      <c r="B187" s="2">
        <v>5</v>
      </c>
      <c r="C187" s="2">
        <v>27.17</v>
      </c>
      <c r="D187" s="2">
        <v>135.85</v>
      </c>
    </row>
    <row r="188" spans="1:4" x14ac:dyDescent="0.2">
      <c r="A188" s="1">
        <v>43782</v>
      </c>
      <c r="B188" s="2">
        <v>5</v>
      </c>
      <c r="C188" s="2">
        <v>27.17</v>
      </c>
      <c r="D188" s="2">
        <v>135.85</v>
      </c>
    </row>
    <row r="189" spans="1:4" x14ac:dyDescent="0.2">
      <c r="A189" s="1">
        <v>43783</v>
      </c>
      <c r="B189" s="2">
        <v>5</v>
      </c>
      <c r="C189" s="2">
        <v>27.17</v>
      </c>
      <c r="D189" s="2">
        <v>135.85</v>
      </c>
    </row>
    <row r="190" spans="1:4" x14ac:dyDescent="0.2">
      <c r="A190" s="1">
        <v>43784</v>
      </c>
      <c r="B190" s="2">
        <v>5</v>
      </c>
      <c r="C190" s="2">
        <v>27.17</v>
      </c>
      <c r="D190" s="2">
        <v>135.85</v>
      </c>
    </row>
    <row r="191" spans="1:4" x14ac:dyDescent="0.2">
      <c r="A191" s="1">
        <v>43787</v>
      </c>
      <c r="B191" s="2">
        <v>5</v>
      </c>
      <c r="C191" s="2">
        <v>27.17</v>
      </c>
      <c r="D191" s="2">
        <v>135.85</v>
      </c>
    </row>
    <row r="192" spans="1:4" x14ac:dyDescent="0.2">
      <c r="A192" s="1">
        <v>43788</v>
      </c>
      <c r="B192" s="2">
        <v>5</v>
      </c>
      <c r="C192" s="2">
        <v>27.17</v>
      </c>
      <c r="D192" s="2">
        <v>135.85</v>
      </c>
    </row>
    <row r="193" spans="1:4" x14ac:dyDescent="0.2">
      <c r="A193" s="1">
        <v>43789</v>
      </c>
      <c r="B193" s="2">
        <v>5</v>
      </c>
      <c r="C193" s="2">
        <v>27.17</v>
      </c>
      <c r="D193" s="2">
        <v>135.85</v>
      </c>
    </row>
    <row r="194" spans="1:4" x14ac:dyDescent="0.2">
      <c r="A194" s="1">
        <v>43790</v>
      </c>
      <c r="B194" s="2">
        <v>5</v>
      </c>
      <c r="C194" s="2">
        <v>27.17</v>
      </c>
      <c r="D194" s="2">
        <v>135.85</v>
      </c>
    </row>
    <row r="195" spans="1:4" x14ac:dyDescent="0.2">
      <c r="A195" s="1">
        <v>43791</v>
      </c>
      <c r="B195" s="2">
        <v>5</v>
      </c>
      <c r="C195" s="2">
        <v>27.17</v>
      </c>
      <c r="D195" s="2">
        <v>135.85</v>
      </c>
    </row>
    <row r="196" spans="1:4" x14ac:dyDescent="0.2">
      <c r="A196" s="1">
        <v>43794</v>
      </c>
      <c r="B196" s="2">
        <v>5</v>
      </c>
      <c r="C196" s="2">
        <v>27.17</v>
      </c>
      <c r="D196" s="2">
        <v>135.85</v>
      </c>
    </row>
    <row r="197" spans="1:4" x14ac:dyDescent="0.2">
      <c r="A197" s="1">
        <v>43795</v>
      </c>
      <c r="B197" s="2">
        <v>5</v>
      </c>
      <c r="C197" s="2">
        <v>27.17</v>
      </c>
      <c r="D197" s="2">
        <v>135.85</v>
      </c>
    </row>
    <row r="198" spans="1:4" x14ac:dyDescent="0.2">
      <c r="A198" s="1">
        <v>43801</v>
      </c>
      <c r="B198" s="2">
        <v>5</v>
      </c>
      <c r="C198" s="2">
        <v>26.36</v>
      </c>
      <c r="D198" s="2">
        <v>131.80000000000001</v>
      </c>
    </row>
    <row r="199" spans="1:4" x14ac:dyDescent="0.2">
      <c r="A199" s="1">
        <v>43802</v>
      </c>
      <c r="B199" s="2">
        <v>5</v>
      </c>
      <c r="C199" s="2">
        <v>26.36</v>
      </c>
      <c r="D199" s="2">
        <v>131.80000000000001</v>
      </c>
    </row>
    <row r="200" spans="1:4" x14ac:dyDescent="0.2">
      <c r="A200" s="1">
        <v>43803</v>
      </c>
      <c r="B200" s="2">
        <v>5</v>
      </c>
      <c r="C200" s="2">
        <v>26.36</v>
      </c>
      <c r="D200" s="2">
        <v>131.80000000000001</v>
      </c>
    </row>
    <row r="201" spans="1:4" x14ac:dyDescent="0.2">
      <c r="A201" s="1">
        <v>43804</v>
      </c>
      <c r="B201" s="2">
        <v>5</v>
      </c>
      <c r="C201" s="2">
        <v>26.36</v>
      </c>
      <c r="D201" s="2">
        <v>131.80000000000001</v>
      </c>
    </row>
    <row r="202" spans="1:4" x14ac:dyDescent="0.2">
      <c r="A202" s="1">
        <v>43805</v>
      </c>
      <c r="B202" s="2">
        <v>5</v>
      </c>
      <c r="C202" s="2">
        <v>26.36</v>
      </c>
      <c r="D202" s="2">
        <v>131.80000000000001</v>
      </c>
    </row>
    <row r="203" spans="1:4" x14ac:dyDescent="0.2">
      <c r="A203" s="1">
        <v>43808</v>
      </c>
      <c r="B203" s="2">
        <v>5</v>
      </c>
      <c r="C203" s="2">
        <v>26.36</v>
      </c>
      <c r="D203" s="2">
        <v>131.80000000000001</v>
      </c>
    </row>
    <row r="204" spans="1:4" x14ac:dyDescent="0.2">
      <c r="A204" s="1">
        <v>43809</v>
      </c>
      <c r="B204" s="2">
        <v>5</v>
      </c>
      <c r="C204" s="2">
        <v>26.36</v>
      </c>
      <c r="D204" s="2">
        <v>131.80000000000001</v>
      </c>
    </row>
    <row r="205" spans="1:4" x14ac:dyDescent="0.2">
      <c r="A205" s="1">
        <v>43810</v>
      </c>
      <c r="B205" s="2">
        <v>5</v>
      </c>
      <c r="C205" s="2">
        <v>26.36</v>
      </c>
      <c r="D205" s="2">
        <v>131.80000000000001</v>
      </c>
    </row>
    <row r="206" spans="1:4" x14ac:dyDescent="0.2">
      <c r="A206" s="1">
        <v>43811</v>
      </c>
      <c r="B206" s="2">
        <v>5</v>
      </c>
      <c r="C206" s="2">
        <v>26.36</v>
      </c>
      <c r="D206" s="2">
        <v>131.80000000000001</v>
      </c>
    </row>
    <row r="207" spans="1:4" x14ac:dyDescent="0.2">
      <c r="A207" s="1">
        <v>43812</v>
      </c>
      <c r="B207" s="2">
        <v>5</v>
      </c>
      <c r="C207" s="2">
        <v>26.36</v>
      </c>
      <c r="D207" s="2">
        <v>131.80000000000001</v>
      </c>
    </row>
    <row r="208" spans="1:4" x14ac:dyDescent="0.2">
      <c r="A208" s="1">
        <v>43815</v>
      </c>
      <c r="B208" s="2">
        <v>5</v>
      </c>
      <c r="C208" s="2">
        <v>26.36</v>
      </c>
      <c r="D208" s="2">
        <v>131.80000000000001</v>
      </c>
    </row>
    <row r="209" spans="1:4" x14ac:dyDescent="0.2">
      <c r="A209" s="1">
        <v>43816</v>
      </c>
      <c r="B209" s="2">
        <v>5</v>
      </c>
      <c r="C209" s="2">
        <v>26.36</v>
      </c>
      <c r="D209" s="2">
        <v>131.80000000000001</v>
      </c>
    </row>
    <row r="210" spans="1:4" x14ac:dyDescent="0.2">
      <c r="A210" s="1">
        <v>43817</v>
      </c>
      <c r="B210" s="2">
        <v>5</v>
      </c>
      <c r="C210" s="2">
        <v>26.36</v>
      </c>
      <c r="D210" s="2">
        <v>131.80000000000001</v>
      </c>
    </row>
    <row r="211" spans="1:4" x14ac:dyDescent="0.2">
      <c r="A211" s="1">
        <v>43818</v>
      </c>
      <c r="B211" s="2">
        <v>5</v>
      </c>
      <c r="C211" s="2">
        <v>26.36</v>
      </c>
      <c r="D211" s="2">
        <v>131.80000000000001</v>
      </c>
    </row>
    <row r="212" spans="1:4" x14ac:dyDescent="0.2">
      <c r="A212" s="1">
        <v>43819</v>
      </c>
      <c r="B212" s="2">
        <v>5</v>
      </c>
      <c r="C212" s="2">
        <v>26.36</v>
      </c>
      <c r="D212" s="2">
        <v>131.80000000000001</v>
      </c>
    </row>
    <row r="213" spans="1:4" x14ac:dyDescent="0.2">
      <c r="A213" s="1">
        <v>43822</v>
      </c>
      <c r="B213" s="2">
        <v>5</v>
      </c>
      <c r="C213" s="2">
        <v>26.36</v>
      </c>
      <c r="D213" s="2">
        <v>131.80000000000001</v>
      </c>
    </row>
    <row r="214" spans="1:4" x14ac:dyDescent="0.2">
      <c r="A214" s="1">
        <v>43823</v>
      </c>
      <c r="B214" s="2">
        <v>5</v>
      </c>
      <c r="C214" s="2">
        <v>26.36</v>
      </c>
      <c r="D214" s="2">
        <v>131.80000000000001</v>
      </c>
    </row>
    <row r="215" spans="1:4" x14ac:dyDescent="0.2">
      <c r="A215" s="1">
        <v>43824</v>
      </c>
      <c r="B215" s="2">
        <v>5</v>
      </c>
      <c r="C215" s="2">
        <v>26.36</v>
      </c>
      <c r="D215" s="2">
        <v>131.80000000000001</v>
      </c>
    </row>
    <row r="216" spans="1:4" x14ac:dyDescent="0.2">
      <c r="A216" s="1">
        <v>43825</v>
      </c>
      <c r="B216" s="2">
        <v>5</v>
      </c>
      <c r="C216" s="2">
        <v>26.36</v>
      </c>
      <c r="D216" s="2">
        <v>131.80000000000001</v>
      </c>
    </row>
    <row r="217" spans="1:4" x14ac:dyDescent="0.2">
      <c r="A217" s="1">
        <v>43826</v>
      </c>
      <c r="B217" s="2">
        <v>4</v>
      </c>
      <c r="C217" s="2">
        <v>26.36</v>
      </c>
      <c r="D217" s="2">
        <v>105.44</v>
      </c>
    </row>
    <row r="219" spans="1:4" x14ac:dyDescent="0.2">
      <c r="A219" s="1" t="s">
        <v>4</v>
      </c>
      <c r="B219" s="2">
        <f>SUM(B2:B217)</f>
        <v>1080</v>
      </c>
      <c r="D219" s="2">
        <f>SUM(D2:D217)</f>
        <v>28854.739999999991</v>
      </c>
    </row>
    <row r="221" spans="1:4" x14ac:dyDescent="0.2">
      <c r="A221" s="1" t="s">
        <v>46</v>
      </c>
      <c r="B221" s="2" t="s">
        <v>47</v>
      </c>
      <c r="D221" s="2">
        <f>D219*0.23</f>
        <v>6636.5901999999978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Maandsamenvatting</vt:lpstr>
      <vt:lpstr>Rittenplanning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2026-04-15T16:05:42Z</dcterms:created>
  <dcterms:modified xsi:type="dcterms:W3CDTF">2026-04-17T13:10:05Z</dcterms:modified>
</cp:coreProperties>
</file>