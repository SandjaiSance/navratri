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5972796A-B793-4C83-B59C-E34257C32660}" xr6:coauthVersionLast="47" xr6:coauthVersionMax="47" xr10:uidLastSave="{00000000-0000-0000-0000-000000000000}"/>
  <bookViews>
    <workbookView xWindow="135" yWindow="90" windowWidth="20775" windowHeight="14910" xr2:uid="{991995BD-8B26-4C04-BC50-A4A751200E5B}"/>
  </bookViews>
  <sheets>
    <sheet name="Maandsamenvatting" sheetId="3" r:id="rId1"/>
    <sheet name="Bron transacties" sheetId="2" r:id="rId2"/>
    <sheet name="Rittenplanning" sheetId="1" r:id="rId3"/>
    <sheet name="Priv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B14" i="3"/>
  <c r="C14" i="3" s="1"/>
  <c r="D13" i="3"/>
  <c r="B13" i="3"/>
  <c r="C13" i="3" s="1"/>
  <c r="D12" i="3"/>
  <c r="B12" i="3"/>
  <c r="C12" i="3" s="1"/>
  <c r="D11" i="3"/>
  <c r="B11" i="3"/>
  <c r="C11" i="3" s="1"/>
  <c r="D10" i="3"/>
  <c r="B10" i="3"/>
  <c r="C10" i="3" s="1"/>
  <c r="D9" i="3"/>
  <c r="B9" i="3"/>
  <c r="C9" i="3" s="1"/>
  <c r="D8" i="3"/>
  <c r="B8" i="3"/>
  <c r="C8" i="3" s="1"/>
  <c r="D7" i="3"/>
  <c r="B7" i="3"/>
  <c r="C7" i="3" s="1"/>
  <c r="D6" i="3"/>
  <c r="B6" i="3"/>
  <c r="C6" i="3" s="1"/>
  <c r="D5" i="3"/>
  <c r="B5" i="3"/>
  <c r="C5" i="3" s="1"/>
  <c r="D4" i="3"/>
  <c r="B4" i="3"/>
  <c r="C4" i="3" s="1"/>
  <c r="D3" i="3"/>
  <c r="D16" i="3" s="1"/>
  <c r="B22" i="3" s="1"/>
  <c r="B3" i="3"/>
  <c r="C3" i="3" s="1"/>
  <c r="D150" i="1"/>
  <c r="D148" i="1"/>
  <c r="B148" i="1"/>
  <c r="J24" i="3"/>
  <c r="J22" i="3"/>
  <c r="J21" i="3"/>
  <c r="J7" i="3"/>
  <c r="J8" i="3" s="1"/>
  <c r="K25" i="3"/>
  <c r="K27" i="3" s="1"/>
  <c r="K15" i="3"/>
  <c r="K11" i="3"/>
  <c r="K7" i="3"/>
  <c r="K8" i="3" s="1"/>
  <c r="F16" i="3"/>
  <c r="G4" i="3"/>
  <c r="G16" i="3" s="1"/>
  <c r="C3" i="4"/>
  <c r="C14" i="4" s="1"/>
  <c r="B14" i="4"/>
  <c r="E69" i="2"/>
  <c r="C69" i="2"/>
  <c r="B69" i="2"/>
  <c r="C16" i="3" l="1"/>
  <c r="B20" i="3" s="1"/>
  <c r="B16" i="3"/>
  <c r="K16" i="3"/>
  <c r="J25" i="3"/>
  <c r="B21" i="3" l="1"/>
  <c r="B23" i="3"/>
  <c r="B24" i="3" l="1"/>
  <c r="C23" i="3"/>
  <c r="B25" i="3" l="1"/>
  <c r="J19" i="3" s="1"/>
  <c r="J27" i="3" s="1"/>
  <c r="J13" i="3" s="1"/>
  <c r="J15" i="3" s="1"/>
  <c r="J16" i="3" s="1"/>
  <c r="C26" i="3" l="1"/>
</calcChain>
</file>

<file path=xl/sharedStrings.xml><?xml version="1.0" encoding="utf-8"?>
<sst xmlns="http://schemas.openxmlformats.org/spreadsheetml/2006/main" count="78" uniqueCount="68">
  <si>
    <t>Plandatum</t>
  </si>
  <si>
    <t>Uren gepland</t>
  </si>
  <si>
    <t>Km per uur</t>
  </si>
  <si>
    <t>Kilometers</t>
  </si>
  <si>
    <t>Totaal</t>
  </si>
  <si>
    <t>Transactiedatum</t>
  </si>
  <si>
    <t>Inkomsten rijschool</t>
  </si>
  <si>
    <t>Uren afgerond</t>
  </si>
  <si>
    <t>Weken terug</t>
  </si>
  <si>
    <t>Maand</t>
  </si>
  <si>
    <t>Uurtarief</t>
  </si>
  <si>
    <t>januari 2021</t>
  </si>
  <si>
    <t>februari 2021</t>
  </si>
  <si>
    <t>maart 2021</t>
  </si>
  <si>
    <t>april 2021</t>
  </si>
  <si>
    <t>mei 2021</t>
  </si>
  <si>
    <t>juni 2021</t>
  </si>
  <si>
    <t>juli 2021</t>
  </si>
  <si>
    <t>augustus 2021</t>
  </si>
  <si>
    <t>september 2021</t>
  </si>
  <si>
    <t>oktober 2021</t>
  </si>
  <si>
    <t>november 2021</t>
  </si>
  <si>
    <t>december 2021</t>
  </si>
  <si>
    <t>Verlies- en winstrekening</t>
  </si>
  <si>
    <t>Inkomsten - Rijschool</t>
  </si>
  <si>
    <t>Kosten - Rijschool</t>
  </si>
  <si>
    <t>Kosten - km</t>
  </si>
  <si>
    <t>Kosten - Internet/Mobiel</t>
  </si>
  <si>
    <t>Totale kosten</t>
  </si>
  <si>
    <t>Resultaat</t>
  </si>
  <si>
    <t>SVB -PGB Ramasray</t>
  </si>
  <si>
    <t>januari</t>
  </si>
  <si>
    <t>februari</t>
  </si>
  <si>
    <t>maart</t>
  </si>
  <si>
    <t>april</t>
  </si>
  <si>
    <t>mai</t>
  </si>
  <si>
    <t>juni</t>
  </si>
  <si>
    <t>juli</t>
  </si>
  <si>
    <t>augustus</t>
  </si>
  <si>
    <t>september</t>
  </si>
  <si>
    <t>oktober</t>
  </si>
  <si>
    <t>november</t>
  </si>
  <si>
    <t>december</t>
  </si>
  <si>
    <t>Hyp rente</t>
  </si>
  <si>
    <t>Prive</t>
  </si>
  <si>
    <t>zakelijk</t>
  </si>
  <si>
    <t>2021</t>
  </si>
  <si>
    <t>ACTIVA</t>
  </si>
  <si>
    <t>VASTE ACTIVA</t>
  </si>
  <si>
    <t>Inventaris (incl computer ed)</t>
  </si>
  <si>
    <t>afschrijvingen</t>
  </si>
  <si>
    <t>boekwaarde</t>
  </si>
  <si>
    <t>VLOTTENDE ACTIVA</t>
  </si>
  <si>
    <t>LIQUIDE MIDDELEN</t>
  </si>
  <si>
    <t>Kas/bank</t>
  </si>
  <si>
    <t>priveonttrekkingen</t>
  </si>
  <si>
    <t>TOTAAL</t>
  </si>
  <si>
    <t>PASSIVA</t>
  </si>
  <si>
    <t>Eigen vermogen</t>
  </si>
  <si>
    <t>Langlopende schulden</t>
  </si>
  <si>
    <t>Kortlopende schulden</t>
  </si>
  <si>
    <t>Te Betalen Belastingen</t>
  </si>
  <si>
    <t>cumm</t>
  </si>
  <si>
    <t>BALANS 2021</t>
  </si>
  <si>
    <t>ELQ hyp rente</t>
  </si>
  <si>
    <t>Km-vergoeding</t>
  </si>
  <si>
    <t>Jaar 2021</t>
  </si>
  <si>
    <t>overige vorderingen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</si>
</sst>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8" tint="-0.499984740745262"/>
      <name val="Arial"/>
      <family val="2"/>
    </font>
    <font>
      <b/>
      <sz val="10"/>
      <color theme="4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0" fontId="1" fillId="0" borderId="0" xfId="0" applyFont="1"/>
    <xf numFmtId="0" fontId="1" fillId="0" borderId="2" xfId="0" applyFont="1" applyBorder="1"/>
    <xf numFmtId="17" fontId="0" fillId="0" borderId="0" xfId="0" applyNumberFormat="1"/>
    <xf numFmtId="49" fontId="3" fillId="0" borderId="1" xfId="0" applyNumberFormat="1" applyFont="1" applyBorder="1"/>
    <xf numFmtId="49" fontId="1" fillId="0" borderId="2" xfId="0" applyNumberFormat="1" applyFont="1" applyBorder="1"/>
    <xf numFmtId="2" fontId="1" fillId="0" borderId="2" xfId="0" applyNumberFormat="1" applyFont="1" applyBorder="1"/>
    <xf numFmtId="2" fontId="3" fillId="4" borderId="1" xfId="0" applyNumberFormat="1" applyFont="1" applyFill="1" applyBorder="1"/>
    <xf numFmtId="0" fontId="3" fillId="4" borderId="1" xfId="0" applyFont="1" applyFill="1" applyBorder="1"/>
    <xf numFmtId="2" fontId="3" fillId="3" borderId="1" xfId="0" applyNumberFormat="1" applyFont="1" applyFill="1" applyBorder="1"/>
    <xf numFmtId="2" fontId="0" fillId="0" borderId="2" xfId="0" applyNumberFormat="1" applyBorder="1"/>
    <xf numFmtId="2" fontId="1" fillId="0" borderId="3" xfId="0" applyNumberFormat="1" applyFont="1" applyBorder="1"/>
    <xf numFmtId="2" fontId="1" fillId="3" borderId="0" xfId="0" applyNumberFormat="1" applyFont="1" applyFill="1"/>
    <xf numFmtId="15" fontId="1" fillId="5" borderId="0" xfId="0" applyNumberFormat="1" applyFont="1" applyFill="1"/>
    <xf numFmtId="0" fontId="1" fillId="4" borderId="0" xfId="0" applyFont="1" applyFill="1"/>
    <xf numFmtId="0" fontId="0" fillId="4" borderId="0" xfId="0" applyFill="1"/>
    <xf numFmtId="0" fontId="1" fillId="3" borderId="1" xfId="0" applyFont="1" applyFill="1" applyBorder="1"/>
    <xf numFmtId="2" fontId="1" fillId="3" borderId="1" xfId="0" applyNumberFormat="1" applyFont="1" applyFill="1" applyBorder="1"/>
    <xf numFmtId="0" fontId="1" fillId="3" borderId="0" xfId="0" applyFont="1" applyFill="1"/>
    <xf numFmtId="2" fontId="0" fillId="3" borderId="0" xfId="0" applyNumberFormat="1" applyFill="1"/>
    <xf numFmtId="0" fontId="1" fillId="4" borderId="1" xfId="0" applyFont="1" applyFill="1" applyBorder="1"/>
    <xf numFmtId="2" fontId="1" fillId="4" borderId="1" xfId="0" applyNumberFormat="1" applyFont="1" applyFill="1" applyBorder="1"/>
    <xf numFmtId="0" fontId="1" fillId="4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E4D6-66EA-4987-BE1A-34D9011A0BF8}">
  <dimension ref="A1:K28"/>
  <sheetViews>
    <sheetView tabSelected="1" workbookViewId="0">
      <selection activeCell="D30" sqref="D30"/>
    </sheetView>
  </sheetViews>
  <sheetFormatPr defaultRowHeight="12.75" x14ac:dyDescent="0.2"/>
  <cols>
    <col min="1" max="1" width="24.42578125" style="5" bestFit="1" customWidth="1"/>
    <col min="2" max="2" width="13.42578125" style="2" bestFit="1" customWidth="1"/>
    <col min="3" max="3" width="18.85546875" style="2" bestFit="1" customWidth="1"/>
    <col min="4" max="4" width="10.7109375" style="2" bestFit="1" customWidth="1"/>
    <col min="5" max="5" width="8.85546875" style="2" bestFit="1" customWidth="1"/>
    <col min="6" max="6" width="9.7109375" bestFit="1" customWidth="1"/>
    <col min="7" max="7" width="19.85546875" bestFit="1" customWidth="1"/>
    <col min="8" max="8" width="4" customWidth="1"/>
    <col min="9" max="9" width="24.5703125" bestFit="1" customWidth="1"/>
    <col min="10" max="11" width="9.5703125" bestFit="1" customWidth="1"/>
  </cols>
  <sheetData>
    <row r="1" spans="1:11" s="9" customFormat="1" x14ac:dyDescent="0.2">
      <c r="A1" s="6" t="s">
        <v>46</v>
      </c>
      <c r="B1" s="31" t="s">
        <v>45</v>
      </c>
      <c r="C1" s="32"/>
      <c r="D1" s="32"/>
      <c r="E1" s="32"/>
      <c r="F1" s="30" t="s">
        <v>44</v>
      </c>
      <c r="G1" s="30"/>
      <c r="I1" s="21" t="s">
        <v>63</v>
      </c>
      <c r="J1" s="21">
        <v>44561</v>
      </c>
      <c r="K1" s="21">
        <v>44196</v>
      </c>
    </row>
    <row r="2" spans="1:11" x14ac:dyDescent="0.2">
      <c r="A2" s="13" t="s">
        <v>9</v>
      </c>
      <c r="B2" s="14" t="s">
        <v>1</v>
      </c>
      <c r="C2" s="14" t="s">
        <v>6</v>
      </c>
      <c r="D2" s="14" t="s">
        <v>3</v>
      </c>
      <c r="E2" s="14" t="s">
        <v>10</v>
      </c>
      <c r="F2" s="10" t="s">
        <v>43</v>
      </c>
      <c r="G2" s="10" t="s">
        <v>30</v>
      </c>
    </row>
    <row r="3" spans="1:11" x14ac:dyDescent="0.2">
      <c r="A3" s="5" t="s">
        <v>11</v>
      </c>
      <c r="B3" s="2">
        <f>SUMIFS(Rittenplanning!$B:$B,Rittenplanning!$A:$A,"&gt;="&amp;DATE(2021,1,1),Rittenplanning!$A:$A,"&lt;"&amp;DATE(2021,2,1))</f>
        <v>0</v>
      </c>
      <c r="C3" s="2">
        <f t="shared" ref="C3:C14" si="0">B3*E3</f>
        <v>0</v>
      </c>
      <c r="D3" s="2">
        <f>SUMIFS(Rittenplanning!$D:$D,Rittenplanning!$A:$A,"&gt;="&amp;DATE(2021,1,1),Rittenplanning!$A:$A,"&lt;"&amp;DATE(2021,2,1))</f>
        <v>0</v>
      </c>
      <c r="E3" s="2">
        <v>32.5</v>
      </c>
      <c r="I3" s="22" t="s">
        <v>47</v>
      </c>
      <c r="J3" s="23"/>
      <c r="K3" s="23"/>
    </row>
    <row r="4" spans="1:11" x14ac:dyDescent="0.2">
      <c r="A4" s="5" t="s">
        <v>12</v>
      </c>
      <c r="B4" s="2">
        <f>SUMIFS(Rittenplanning!$B:$B,Rittenplanning!$A:$A,"&gt;="&amp;DATE(2021,2,1),Rittenplanning!$A:$A,"&lt;"&amp;DATE(2021,3,1))</f>
        <v>11</v>
      </c>
      <c r="C4" s="2">
        <f t="shared" si="0"/>
        <v>357.5</v>
      </c>
      <c r="D4" s="2">
        <f>SUMIFS(Rittenplanning!$D:$D,Rittenplanning!$A:$A,"&gt;="&amp;DATE(2021,2,1),Rittenplanning!$A:$A,"&lt;"&amp;DATE(2021,3,1))</f>
        <v>697.4</v>
      </c>
      <c r="E4" s="2">
        <v>32.5</v>
      </c>
      <c r="F4" s="2">
        <v>743.81</v>
      </c>
      <c r="G4">
        <f>756.03+2315.83+820.55</f>
        <v>3892.41</v>
      </c>
      <c r="I4" t="s">
        <v>48</v>
      </c>
    </row>
    <row r="5" spans="1:11" x14ac:dyDescent="0.2">
      <c r="A5" s="5" t="s">
        <v>13</v>
      </c>
      <c r="B5" s="2">
        <f>SUMIFS(Rittenplanning!$B:$B,Rittenplanning!$A:$A,"&gt;="&amp;DATE(2021,3,1),Rittenplanning!$A:$A,"&lt;"&amp;DATE(2021,4,1))</f>
        <v>48</v>
      </c>
      <c r="C5" s="2">
        <f t="shared" si="0"/>
        <v>1560</v>
      </c>
      <c r="D5" s="2">
        <f>SUMIFS(Rittenplanning!$D:$D,Rittenplanning!$A:$A,"&gt;="&amp;DATE(2021,3,1),Rittenplanning!$A:$A,"&lt;"&amp;DATE(2021,4,1))</f>
        <v>1030.82</v>
      </c>
      <c r="E5" s="2">
        <v>32.5</v>
      </c>
      <c r="F5" s="2">
        <v>743.75</v>
      </c>
      <c r="G5">
        <v>2315.83</v>
      </c>
      <c r="I5" t="s">
        <v>49</v>
      </c>
      <c r="J5" s="2">
        <v>350</v>
      </c>
      <c r="K5" s="2">
        <v>500</v>
      </c>
    </row>
    <row r="6" spans="1:11" x14ac:dyDescent="0.2">
      <c r="A6" s="5" t="s">
        <v>14</v>
      </c>
      <c r="B6" s="2">
        <f>SUMIFS(Rittenplanning!$B:$B,Rittenplanning!$A:$A,"&gt;="&amp;DATE(2021,4,1),Rittenplanning!$A:$A,"&lt;"&amp;DATE(2021,5,1))</f>
        <v>37</v>
      </c>
      <c r="C6" s="2">
        <f t="shared" si="0"/>
        <v>1202.5</v>
      </c>
      <c r="D6" s="2">
        <f>SUMIFS(Rittenplanning!$D:$D,Rittenplanning!$A:$A,"&gt;="&amp;DATE(2021,4,1),Rittenplanning!$A:$A,"&lt;"&amp;DATE(2021,5,1))</f>
        <v>1197.58</v>
      </c>
      <c r="E6" s="2">
        <v>32.5</v>
      </c>
      <c r="F6">
        <v>745.73</v>
      </c>
      <c r="G6">
        <v>2315.83</v>
      </c>
      <c r="I6" t="s">
        <v>50</v>
      </c>
      <c r="J6" s="2">
        <v>150</v>
      </c>
      <c r="K6" s="2">
        <v>200</v>
      </c>
    </row>
    <row r="7" spans="1:11" x14ac:dyDescent="0.2">
      <c r="A7" s="5" t="s">
        <v>15</v>
      </c>
      <c r="B7" s="2">
        <f>SUMIFS(Rittenplanning!$B:$B,Rittenplanning!$A:$A,"&gt;="&amp;DATE(2021,5,1),Rittenplanning!$A:$A,"&lt;"&amp;DATE(2021,6,1))</f>
        <v>37</v>
      </c>
      <c r="C7" s="2">
        <f t="shared" si="0"/>
        <v>1202.5</v>
      </c>
      <c r="D7" s="2">
        <f>SUMIFS(Rittenplanning!$D:$D,Rittenplanning!$A:$A,"&gt;="&amp;DATE(2021,5,1),Rittenplanning!$A:$A,"&lt;"&amp;DATE(2021,6,1))</f>
        <v>1184.6799999999998</v>
      </c>
      <c r="E7" s="2">
        <v>32.5</v>
      </c>
      <c r="F7">
        <v>745.73</v>
      </c>
      <c r="G7">
        <v>2315.83</v>
      </c>
      <c r="I7" t="s">
        <v>51</v>
      </c>
      <c r="J7" s="2">
        <f>J5-J6</f>
        <v>200</v>
      </c>
      <c r="K7" s="2">
        <f>K5-K6</f>
        <v>300</v>
      </c>
    </row>
    <row r="8" spans="1:11" x14ac:dyDescent="0.2">
      <c r="A8" s="5" t="s">
        <v>16</v>
      </c>
      <c r="B8" s="2">
        <f>SUMIFS(Rittenplanning!$B:$B,Rittenplanning!$A:$A,"&gt;="&amp;DATE(2021,6,1),Rittenplanning!$A:$A,"&lt;"&amp;DATE(2021,7,1))</f>
        <v>28</v>
      </c>
      <c r="C8" s="2">
        <f t="shared" si="0"/>
        <v>910</v>
      </c>
      <c r="D8" s="2">
        <f>SUMIFS(Rittenplanning!$D:$D,Rittenplanning!$A:$A,"&gt;="&amp;DATE(2021,6,1),Rittenplanning!$A:$A,"&lt;"&amp;DATE(2021,7,1))</f>
        <v>1526.1499999999999</v>
      </c>
      <c r="E8" s="2">
        <v>32.5</v>
      </c>
      <c r="F8">
        <v>745.73</v>
      </c>
      <c r="G8">
        <v>2315.83</v>
      </c>
      <c r="J8" s="2">
        <f>J7</f>
        <v>200</v>
      </c>
      <c r="K8" s="2">
        <f>K7</f>
        <v>300</v>
      </c>
    </row>
    <row r="9" spans="1:11" x14ac:dyDescent="0.2">
      <c r="A9" s="5" t="s">
        <v>17</v>
      </c>
      <c r="B9" s="2">
        <f>SUMIFS(Rittenplanning!$B:$B,Rittenplanning!$A:$A,"&gt;="&amp;DATE(2021,7,1),Rittenplanning!$A:$A,"&lt;"&amp;DATE(2021,8,1))</f>
        <v>128</v>
      </c>
      <c r="C9" s="2">
        <f t="shared" si="0"/>
        <v>4160</v>
      </c>
      <c r="D9" s="2">
        <f>SUMIFS(Rittenplanning!$D:$D,Rittenplanning!$A:$A,"&gt;="&amp;DATE(2021,7,1),Rittenplanning!$A:$A,"&lt;"&amp;DATE(2021,8,1))</f>
        <v>1562.8799999999999</v>
      </c>
      <c r="E9" s="2">
        <v>32.5</v>
      </c>
      <c r="F9" s="2">
        <v>743.75</v>
      </c>
      <c r="G9">
        <v>2315.83</v>
      </c>
      <c r="I9" t="s">
        <v>52</v>
      </c>
      <c r="J9" s="2"/>
      <c r="K9" s="2"/>
    </row>
    <row r="10" spans="1:11" x14ac:dyDescent="0.2">
      <c r="A10" s="5" t="s">
        <v>18</v>
      </c>
      <c r="B10" s="2">
        <f>SUMIFS(Rittenplanning!$B:$B,Rittenplanning!$A:$A,"&gt;="&amp;DATE(2021,8,1),Rittenplanning!$A:$A,"&lt;"&amp;DATE(2021,9,1))</f>
        <v>36</v>
      </c>
      <c r="C10" s="2">
        <f t="shared" si="0"/>
        <v>1170</v>
      </c>
      <c r="D10" s="2">
        <f>SUMIFS(Rittenplanning!$D:$D,Rittenplanning!$A:$A,"&gt;="&amp;DATE(2021,8,1),Rittenplanning!$A:$A,"&lt;"&amp;DATE(2021,9,1))</f>
        <v>1472.24</v>
      </c>
      <c r="E10" s="2">
        <v>32.5</v>
      </c>
      <c r="F10">
        <v>745.73</v>
      </c>
      <c r="G10">
        <v>2315.83</v>
      </c>
      <c r="I10" t="s">
        <v>67</v>
      </c>
      <c r="J10" s="2">
        <v>813</v>
      </c>
      <c r="K10" s="2">
        <v>817</v>
      </c>
    </row>
    <row r="11" spans="1:11" x14ac:dyDescent="0.2">
      <c r="A11" s="5" t="s">
        <v>19</v>
      </c>
      <c r="B11" s="2">
        <f>SUMIFS(Rittenplanning!$B:$B,Rittenplanning!$A:$A,"&gt;="&amp;DATE(2021,9,1),Rittenplanning!$A:$A,"&lt;"&amp;DATE(2021,10,1))</f>
        <v>42</v>
      </c>
      <c r="C11" s="2">
        <f t="shared" si="0"/>
        <v>1365</v>
      </c>
      <c r="D11" s="2">
        <f>SUMIFS(Rittenplanning!$D:$D,Rittenplanning!$A:$A,"&gt;="&amp;DATE(2021,9,1),Rittenplanning!$A:$A,"&lt;"&amp;DATE(2021,10,1))</f>
        <v>1636.1799999999998</v>
      </c>
      <c r="E11" s="2">
        <v>32.5</v>
      </c>
      <c r="F11">
        <v>745.73</v>
      </c>
      <c r="G11">
        <v>2315.83</v>
      </c>
      <c r="J11" s="2">
        <v>813</v>
      </c>
      <c r="K11" s="2">
        <f>K10</f>
        <v>817</v>
      </c>
    </row>
    <row r="12" spans="1:11" x14ac:dyDescent="0.2">
      <c r="A12" s="5" t="s">
        <v>20</v>
      </c>
      <c r="B12" s="2">
        <f>SUMIFS(Rittenplanning!$B:$B,Rittenplanning!$A:$A,"&gt;="&amp;DATE(2021,10,1),Rittenplanning!$A:$A,"&lt;"&amp;DATE(2021,11,1))</f>
        <v>101</v>
      </c>
      <c r="C12" s="2">
        <f t="shared" si="0"/>
        <v>3282.5</v>
      </c>
      <c r="D12" s="2">
        <f>SUMIFS(Rittenplanning!$D:$D,Rittenplanning!$A:$A,"&gt;="&amp;DATE(2021,10,1),Rittenplanning!$A:$A,"&lt;"&amp;DATE(2021,11,1))</f>
        <v>1780.4200000000005</v>
      </c>
      <c r="E12" s="2">
        <v>32.5</v>
      </c>
      <c r="F12" s="2">
        <v>743.75</v>
      </c>
      <c r="I12" t="s">
        <v>53</v>
      </c>
      <c r="J12" s="2"/>
      <c r="K12" s="2"/>
    </row>
    <row r="13" spans="1:11" x14ac:dyDescent="0.2">
      <c r="A13" s="5" t="s">
        <v>21</v>
      </c>
      <c r="B13" s="2">
        <f>SUMIFS(Rittenplanning!$B:$B,Rittenplanning!$A:$A,"&gt;="&amp;DATE(2021,11,1),Rittenplanning!$A:$A,"&lt;"&amp;DATE(2021,12,1))</f>
        <v>65</v>
      </c>
      <c r="C13" s="2">
        <f t="shared" si="0"/>
        <v>2112.5</v>
      </c>
      <c r="D13" s="2">
        <f>SUMIFS(Rittenplanning!$D:$D,Rittenplanning!$A:$A,"&gt;="&amp;DATE(2021,11,1),Rittenplanning!$A:$A,"&lt;"&amp;DATE(2021,12,1))</f>
        <v>2277.8200000000002</v>
      </c>
      <c r="E13" s="2">
        <v>32.5</v>
      </c>
      <c r="F13" s="2">
        <v>743.75</v>
      </c>
      <c r="I13" t="s">
        <v>54</v>
      </c>
      <c r="J13" s="2">
        <f>J27-J8-J11-J14</f>
        <v>17754.4548</v>
      </c>
      <c r="K13" s="2">
        <v>27190.9048</v>
      </c>
    </row>
    <row r="14" spans="1:11" x14ac:dyDescent="0.2">
      <c r="A14" s="5" t="s">
        <v>22</v>
      </c>
      <c r="B14" s="2">
        <f>SUMIFS(Rittenplanning!$B:$B,Rittenplanning!$A:$A,"&gt;="&amp;DATE(2021,12,1),Rittenplanning!$A:$A,"&lt;"&amp;DATE(2022,1,1))</f>
        <v>112</v>
      </c>
      <c r="C14" s="2">
        <f t="shared" si="0"/>
        <v>3640</v>
      </c>
      <c r="D14" s="2">
        <f>SUMIFS(Rittenplanning!$D:$D,Rittenplanning!$A:$A,"&gt;="&amp;DATE(2021,12,1),Rittenplanning!$A:$A,"&lt;"&amp;DATE(2022,1,1))</f>
        <v>2618.9900000000002</v>
      </c>
      <c r="E14" s="2">
        <v>32.5</v>
      </c>
      <c r="F14" s="2">
        <v>743.75</v>
      </c>
      <c r="I14" t="s">
        <v>55</v>
      </c>
      <c r="J14" s="2">
        <v>-9300</v>
      </c>
      <c r="K14" s="2">
        <v>-21400</v>
      </c>
    </row>
    <row r="15" spans="1:11" x14ac:dyDescent="0.2">
      <c r="J15" s="2">
        <f>SUM(J13:J14)</f>
        <v>8454.4547999999995</v>
      </c>
      <c r="K15" s="2">
        <f>SUM(K13:K14)</f>
        <v>5790.9048000000003</v>
      </c>
    </row>
    <row r="16" spans="1:11" x14ac:dyDescent="0.2">
      <c r="A16" s="12" t="s">
        <v>4</v>
      </c>
      <c r="B16" s="17">
        <f>SUM(B3:B14)</f>
        <v>645</v>
      </c>
      <c r="C16" s="17">
        <f>SUM(C3:C14)</f>
        <v>20962.5</v>
      </c>
      <c r="D16" s="17">
        <f>SUM(D3:D14)</f>
        <v>16985.16</v>
      </c>
      <c r="E16" s="17">
        <v>32.5</v>
      </c>
      <c r="F16" s="15">
        <f>SUM(F4:F14)</f>
        <v>8191.2099999999991</v>
      </c>
      <c r="G16" s="16">
        <f>SUM(G4:G14)</f>
        <v>20103.22</v>
      </c>
      <c r="I16" s="28" t="s">
        <v>56</v>
      </c>
      <c r="J16" s="29">
        <f>SUM(J8,J11,J15)</f>
        <v>9467.4547999999995</v>
      </c>
      <c r="K16" s="29">
        <f>SUM(K8,K11,K15)</f>
        <v>6907.9048000000003</v>
      </c>
    </row>
    <row r="17" spans="1:11" x14ac:dyDescent="0.2">
      <c r="J17" s="2"/>
      <c r="K17" s="2"/>
    </row>
    <row r="18" spans="1:11" x14ac:dyDescent="0.2">
      <c r="I18" s="26" t="s">
        <v>57</v>
      </c>
      <c r="J18" s="27"/>
      <c r="K18" s="27"/>
    </row>
    <row r="19" spans="1:11" x14ac:dyDescent="0.2">
      <c r="A19" s="6" t="s">
        <v>23</v>
      </c>
      <c r="I19" t="s">
        <v>58</v>
      </c>
      <c r="J19" s="2">
        <f>K19+$B25+J14</f>
        <v>9467.4547999999995</v>
      </c>
      <c r="K19" s="2">
        <v>6907.9048000000003</v>
      </c>
    </row>
    <row r="20" spans="1:11" x14ac:dyDescent="0.2">
      <c r="A20" s="2" t="s">
        <v>24</v>
      </c>
      <c r="B20" s="2">
        <f>C16</f>
        <v>20962.5</v>
      </c>
      <c r="J20" s="2"/>
      <c r="K20" s="2"/>
    </row>
    <row r="21" spans="1:11" x14ac:dyDescent="0.2">
      <c r="A21" s="2" t="s">
        <v>25</v>
      </c>
      <c r="B21" s="2">
        <f>ROUND(B20*0.2419718574,2)</f>
        <v>5072.34</v>
      </c>
      <c r="I21" t="s">
        <v>59</v>
      </c>
      <c r="J21" s="2">
        <f>K21</f>
        <v>0</v>
      </c>
      <c r="K21" s="2">
        <v>0</v>
      </c>
    </row>
    <row r="22" spans="1:11" x14ac:dyDescent="0.2">
      <c r="A22" s="2" t="s">
        <v>26</v>
      </c>
      <c r="B22" s="2">
        <f>ROUND(D16*0.23,2)</f>
        <v>3906.59</v>
      </c>
      <c r="I22" t="s">
        <v>60</v>
      </c>
      <c r="J22" s="2">
        <f>K22</f>
        <v>0</v>
      </c>
      <c r="K22" s="2">
        <v>0</v>
      </c>
    </row>
    <row r="23" spans="1:11" x14ac:dyDescent="0.2">
      <c r="A23" s="2" t="s">
        <v>27</v>
      </c>
      <c r="B23" s="18">
        <f>ROUND(B20*0.0059160413,2)</f>
        <v>124.02</v>
      </c>
      <c r="C23" s="2">
        <f>SUM(B21:B23)</f>
        <v>9102.9500000000007</v>
      </c>
      <c r="J23" s="2"/>
      <c r="K23" s="2"/>
    </row>
    <row r="24" spans="1:11" ht="13.5" thickBot="1" x14ac:dyDescent="0.25">
      <c r="A24" s="4" t="s">
        <v>28</v>
      </c>
      <c r="B24" s="19">
        <f>SUM(B21:B23)</f>
        <v>9102.9500000000007</v>
      </c>
      <c r="I24" t="s">
        <v>61</v>
      </c>
      <c r="J24" s="2">
        <f>K24</f>
        <v>0</v>
      </c>
      <c r="K24" s="2">
        <v>0</v>
      </c>
    </row>
    <row r="25" spans="1:11" ht="13.5" thickTop="1" x14ac:dyDescent="0.2">
      <c r="A25" s="20" t="s">
        <v>29</v>
      </c>
      <c r="B25" s="20">
        <f>B20-B24</f>
        <v>11859.55</v>
      </c>
      <c r="I25" t="s">
        <v>62</v>
      </c>
      <c r="J25" s="2">
        <f>SUM(J21:J24)</f>
        <v>0</v>
      </c>
      <c r="K25" s="2">
        <f>SUM(K21:K24)</f>
        <v>0</v>
      </c>
    </row>
    <row r="26" spans="1:11" x14ac:dyDescent="0.2">
      <c r="C26" s="2">
        <f>B24+B25</f>
        <v>20962.5</v>
      </c>
      <c r="J26" s="2"/>
      <c r="K26" s="2"/>
    </row>
    <row r="27" spans="1:11" x14ac:dyDescent="0.2">
      <c r="I27" s="24" t="s">
        <v>56</v>
      </c>
      <c r="J27" s="25">
        <f>SUM(J19,J21:J25)</f>
        <v>9467.4547999999995</v>
      </c>
      <c r="K27" s="25">
        <f>SUM(K19,K21:K25)</f>
        <v>6907.9048000000003</v>
      </c>
    </row>
    <row r="28" spans="1:11" x14ac:dyDescent="0.2">
      <c r="A28"/>
    </row>
  </sheetData>
  <mergeCells count="2">
    <mergeCell ref="F1:G1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D867-4C91-45EA-B42E-2D639EA84C9F}">
  <dimension ref="A1:F69"/>
  <sheetViews>
    <sheetView topLeftCell="A13" workbookViewId="0">
      <selection activeCell="P8" sqref="P8"/>
    </sheetView>
  </sheetViews>
  <sheetFormatPr defaultRowHeight="12.75" x14ac:dyDescent="0.2"/>
  <cols>
    <col min="1" max="1" width="14.7109375" style="1" customWidth="1"/>
    <col min="2" max="2" width="17.28515625" style="2" bestFit="1" customWidth="1"/>
    <col min="3" max="3" width="12.42578125" style="2" bestFit="1" customWidth="1"/>
    <col min="4" max="4" width="10.140625" style="2" bestFit="1" customWidth="1"/>
    <col min="5" max="5" width="9.85546875" style="2" bestFit="1" customWidth="1"/>
    <col min="6" max="6" width="11.5703125" style="2" bestFit="1" customWidth="1"/>
  </cols>
  <sheetData>
    <row r="1" spans="1:6" x14ac:dyDescent="0.2">
      <c r="A1" s="3" t="s">
        <v>5</v>
      </c>
      <c r="B1" s="4" t="s">
        <v>6</v>
      </c>
      <c r="C1" s="4" t="s">
        <v>7</v>
      </c>
      <c r="D1" s="4" t="s">
        <v>2</v>
      </c>
      <c r="E1" s="4" t="s">
        <v>3</v>
      </c>
      <c r="F1" s="4" t="s">
        <v>8</v>
      </c>
    </row>
    <row r="2" spans="1:6" x14ac:dyDescent="0.2">
      <c r="A2" s="1">
        <v>44239</v>
      </c>
      <c r="B2" s="2">
        <v>50</v>
      </c>
      <c r="C2" s="2">
        <v>2</v>
      </c>
      <c r="D2" s="2">
        <v>23</v>
      </c>
      <c r="E2" s="2">
        <v>46</v>
      </c>
      <c r="F2" s="2">
        <v>15</v>
      </c>
    </row>
    <row r="3" spans="1:6" x14ac:dyDescent="0.2">
      <c r="A3" s="1">
        <v>44251</v>
      </c>
      <c r="B3" s="2">
        <v>285</v>
      </c>
      <c r="C3" s="2">
        <v>9</v>
      </c>
      <c r="D3" s="2">
        <v>24</v>
      </c>
      <c r="E3" s="2">
        <v>216</v>
      </c>
      <c r="F3" s="2">
        <v>15</v>
      </c>
    </row>
    <row r="4" spans="1:6" x14ac:dyDescent="0.2">
      <c r="A4" s="1">
        <v>44273</v>
      </c>
      <c r="B4" s="2">
        <v>300</v>
      </c>
      <c r="C4" s="2">
        <v>9</v>
      </c>
      <c r="D4" s="2">
        <v>25</v>
      </c>
      <c r="E4" s="2">
        <v>225</v>
      </c>
      <c r="F4" s="2">
        <v>15</v>
      </c>
    </row>
    <row r="5" spans="1:6" x14ac:dyDescent="0.2">
      <c r="A5" s="1">
        <v>44277</v>
      </c>
      <c r="B5" s="2">
        <v>879.5</v>
      </c>
      <c r="C5" s="2">
        <v>27</v>
      </c>
      <c r="D5" s="2">
        <v>26</v>
      </c>
      <c r="E5" s="2">
        <v>702</v>
      </c>
      <c r="F5" s="2">
        <v>20</v>
      </c>
    </row>
    <row r="6" spans="1:6" x14ac:dyDescent="0.2">
      <c r="A6" s="1">
        <v>44278</v>
      </c>
      <c r="B6" s="2">
        <v>300</v>
      </c>
      <c r="C6" s="2">
        <v>9</v>
      </c>
      <c r="D6" s="2">
        <v>27</v>
      </c>
      <c r="E6" s="2">
        <v>243</v>
      </c>
      <c r="F6" s="2">
        <v>15</v>
      </c>
    </row>
    <row r="7" spans="1:6" x14ac:dyDescent="0.2">
      <c r="A7" s="1">
        <v>44285</v>
      </c>
      <c r="B7" s="2">
        <v>85</v>
      </c>
      <c r="C7" s="2">
        <v>3</v>
      </c>
      <c r="D7" s="2">
        <v>28</v>
      </c>
      <c r="E7" s="2">
        <v>84</v>
      </c>
      <c r="F7" s="2">
        <v>15</v>
      </c>
    </row>
    <row r="8" spans="1:6" x14ac:dyDescent="0.2">
      <c r="A8" s="1">
        <v>44287</v>
      </c>
      <c r="B8" s="2">
        <v>234</v>
      </c>
      <c r="C8" s="2">
        <v>7</v>
      </c>
      <c r="D8" s="2">
        <v>29</v>
      </c>
      <c r="E8" s="2">
        <v>203</v>
      </c>
      <c r="F8" s="2">
        <v>15</v>
      </c>
    </row>
    <row r="9" spans="1:6" x14ac:dyDescent="0.2">
      <c r="A9" s="1">
        <v>44292</v>
      </c>
      <c r="B9" s="2">
        <v>60</v>
      </c>
      <c r="C9" s="2">
        <v>2</v>
      </c>
      <c r="D9" s="2">
        <v>30</v>
      </c>
      <c r="E9" s="2">
        <v>60</v>
      </c>
      <c r="F9" s="2">
        <v>15</v>
      </c>
    </row>
    <row r="10" spans="1:6" x14ac:dyDescent="0.2">
      <c r="A10" s="1">
        <v>44296</v>
      </c>
      <c r="B10" s="2">
        <v>269.5</v>
      </c>
      <c r="C10" s="2">
        <v>8</v>
      </c>
      <c r="D10" s="2">
        <v>31</v>
      </c>
      <c r="E10" s="2">
        <v>248</v>
      </c>
      <c r="F10" s="2">
        <v>15</v>
      </c>
    </row>
    <row r="11" spans="1:6" x14ac:dyDescent="0.2">
      <c r="A11" s="1">
        <v>44299</v>
      </c>
      <c r="B11" s="2">
        <v>495</v>
      </c>
      <c r="C11" s="2">
        <v>15</v>
      </c>
      <c r="D11" s="2">
        <v>23</v>
      </c>
      <c r="E11" s="2">
        <v>345</v>
      </c>
      <c r="F11" s="2">
        <v>15</v>
      </c>
    </row>
    <row r="12" spans="1:6" x14ac:dyDescent="0.2">
      <c r="A12" s="1">
        <v>44306</v>
      </c>
      <c r="B12" s="2">
        <v>60</v>
      </c>
      <c r="C12" s="2">
        <v>2</v>
      </c>
      <c r="D12" s="2">
        <v>24</v>
      </c>
      <c r="E12" s="2">
        <v>48</v>
      </c>
      <c r="F12" s="2">
        <v>15</v>
      </c>
    </row>
    <row r="13" spans="1:6" x14ac:dyDescent="0.2">
      <c r="A13" s="1">
        <v>44307</v>
      </c>
      <c r="B13" s="2">
        <v>90</v>
      </c>
      <c r="C13" s="2">
        <v>3</v>
      </c>
      <c r="D13" s="2">
        <v>25</v>
      </c>
      <c r="E13" s="2">
        <v>75</v>
      </c>
      <c r="F13" s="2">
        <v>15</v>
      </c>
    </row>
    <row r="14" spans="1:6" x14ac:dyDescent="0.2">
      <c r="A14" s="1">
        <v>44322</v>
      </c>
      <c r="B14" s="2">
        <v>360</v>
      </c>
      <c r="C14" s="2">
        <v>11</v>
      </c>
      <c r="D14" s="2">
        <v>26</v>
      </c>
      <c r="E14" s="2">
        <v>286</v>
      </c>
      <c r="F14" s="2">
        <v>15</v>
      </c>
    </row>
    <row r="15" spans="1:6" x14ac:dyDescent="0.2">
      <c r="A15" s="1">
        <v>44327</v>
      </c>
      <c r="B15" s="2">
        <v>60</v>
      </c>
      <c r="C15" s="2">
        <v>2</v>
      </c>
      <c r="D15" s="2">
        <v>27</v>
      </c>
      <c r="E15" s="2">
        <v>54</v>
      </c>
      <c r="F15" s="2">
        <v>15</v>
      </c>
    </row>
    <row r="16" spans="1:6" x14ac:dyDescent="0.2">
      <c r="A16" s="1">
        <v>44334</v>
      </c>
      <c r="B16" s="2">
        <v>300</v>
      </c>
      <c r="C16" s="2">
        <v>9</v>
      </c>
      <c r="D16" s="2">
        <v>28</v>
      </c>
      <c r="E16" s="2">
        <v>252</v>
      </c>
      <c r="F16" s="2">
        <v>15</v>
      </c>
    </row>
    <row r="17" spans="1:6" x14ac:dyDescent="0.2">
      <c r="A17" s="1">
        <v>44335</v>
      </c>
      <c r="B17" s="2">
        <v>72</v>
      </c>
      <c r="C17" s="2">
        <v>2</v>
      </c>
      <c r="D17" s="2">
        <v>29</v>
      </c>
      <c r="E17" s="2">
        <v>58</v>
      </c>
      <c r="F17" s="2">
        <v>15</v>
      </c>
    </row>
    <row r="18" spans="1:6" x14ac:dyDescent="0.2">
      <c r="A18" s="1">
        <v>44341</v>
      </c>
      <c r="B18" s="2">
        <v>300</v>
      </c>
      <c r="C18" s="2">
        <v>9</v>
      </c>
      <c r="D18" s="2">
        <v>30</v>
      </c>
      <c r="E18" s="2">
        <v>270</v>
      </c>
      <c r="F18" s="2">
        <v>15</v>
      </c>
    </row>
    <row r="19" spans="1:6" x14ac:dyDescent="0.2">
      <c r="A19" s="1">
        <v>44342</v>
      </c>
      <c r="B19" s="2">
        <v>145</v>
      </c>
      <c r="C19" s="2">
        <v>4</v>
      </c>
      <c r="D19" s="2">
        <v>31</v>
      </c>
      <c r="E19" s="2">
        <v>124</v>
      </c>
      <c r="F19" s="2">
        <v>15</v>
      </c>
    </row>
    <row r="20" spans="1:6" x14ac:dyDescent="0.2">
      <c r="A20" s="1">
        <v>44356</v>
      </c>
      <c r="B20" s="2">
        <v>139.5</v>
      </c>
      <c r="C20" s="2">
        <v>4</v>
      </c>
      <c r="D20" s="2">
        <v>23</v>
      </c>
      <c r="E20" s="2">
        <v>92</v>
      </c>
      <c r="F20" s="2">
        <v>15</v>
      </c>
    </row>
    <row r="21" spans="1:6" x14ac:dyDescent="0.2">
      <c r="A21" s="1">
        <v>44371</v>
      </c>
      <c r="B21" s="2">
        <v>204.5</v>
      </c>
      <c r="C21" s="2">
        <v>6</v>
      </c>
      <c r="D21" s="2">
        <v>24</v>
      </c>
      <c r="E21" s="2">
        <v>144</v>
      </c>
      <c r="F21" s="2">
        <v>15</v>
      </c>
    </row>
    <row r="22" spans="1:6" x14ac:dyDescent="0.2">
      <c r="A22" s="1">
        <v>44375</v>
      </c>
      <c r="B22" s="2">
        <v>300</v>
      </c>
      <c r="C22" s="2">
        <v>9</v>
      </c>
      <c r="D22" s="2">
        <v>25</v>
      </c>
      <c r="E22" s="2">
        <v>225</v>
      </c>
      <c r="F22" s="2">
        <v>15</v>
      </c>
    </row>
    <row r="23" spans="1:6" x14ac:dyDescent="0.2">
      <c r="A23" s="1">
        <v>44377</v>
      </c>
      <c r="B23" s="2">
        <v>300</v>
      </c>
      <c r="C23" s="2">
        <v>9</v>
      </c>
      <c r="D23" s="2">
        <v>26</v>
      </c>
      <c r="E23" s="2">
        <v>234</v>
      </c>
      <c r="F23" s="2">
        <v>15</v>
      </c>
    </row>
    <row r="24" spans="1:6" x14ac:dyDescent="0.2">
      <c r="A24" s="1">
        <v>44382</v>
      </c>
      <c r="B24" s="2">
        <v>300</v>
      </c>
      <c r="C24" s="2">
        <v>9</v>
      </c>
      <c r="D24" s="2">
        <v>27</v>
      </c>
      <c r="E24" s="2">
        <v>243</v>
      </c>
      <c r="F24" s="2">
        <v>15</v>
      </c>
    </row>
    <row r="25" spans="1:6" x14ac:dyDescent="0.2">
      <c r="A25" s="1">
        <v>44386</v>
      </c>
      <c r="B25" s="2">
        <v>60</v>
      </c>
      <c r="C25" s="2">
        <v>2</v>
      </c>
      <c r="D25" s="2">
        <v>28</v>
      </c>
      <c r="E25" s="2">
        <v>56</v>
      </c>
      <c r="F25" s="2">
        <v>15</v>
      </c>
    </row>
    <row r="26" spans="1:6" x14ac:dyDescent="0.2">
      <c r="A26" s="1">
        <v>44390</v>
      </c>
      <c r="B26" s="2">
        <v>1445</v>
      </c>
      <c r="C26" s="2">
        <v>44</v>
      </c>
      <c r="D26" s="2">
        <v>29</v>
      </c>
      <c r="E26" s="2">
        <v>1276</v>
      </c>
      <c r="F26" s="2">
        <v>20</v>
      </c>
    </row>
    <row r="27" spans="1:6" x14ac:dyDescent="0.2">
      <c r="A27" s="1">
        <v>44391</v>
      </c>
      <c r="B27" s="2">
        <v>427.5</v>
      </c>
      <c r="C27" s="2">
        <v>13</v>
      </c>
      <c r="D27" s="2">
        <v>30</v>
      </c>
      <c r="E27" s="2">
        <v>390</v>
      </c>
      <c r="F27" s="2">
        <v>15</v>
      </c>
    </row>
    <row r="28" spans="1:6" x14ac:dyDescent="0.2">
      <c r="A28" s="1">
        <v>44392</v>
      </c>
      <c r="B28" s="2">
        <v>300</v>
      </c>
      <c r="C28" s="2">
        <v>9</v>
      </c>
      <c r="D28" s="2">
        <v>31</v>
      </c>
      <c r="E28" s="2">
        <v>279</v>
      </c>
      <c r="F28" s="2">
        <v>15</v>
      </c>
    </row>
    <row r="29" spans="1:6" x14ac:dyDescent="0.2">
      <c r="A29" s="1">
        <v>44393</v>
      </c>
      <c r="B29" s="2">
        <v>300</v>
      </c>
      <c r="C29" s="2">
        <v>9</v>
      </c>
      <c r="D29" s="2">
        <v>23</v>
      </c>
      <c r="E29" s="2">
        <v>207</v>
      </c>
      <c r="F29" s="2">
        <v>15</v>
      </c>
    </row>
    <row r="30" spans="1:6" x14ac:dyDescent="0.2">
      <c r="A30" s="1">
        <v>44396</v>
      </c>
      <c r="B30" s="2">
        <v>40</v>
      </c>
      <c r="C30" s="2">
        <v>1</v>
      </c>
      <c r="D30" s="2">
        <v>24</v>
      </c>
      <c r="E30" s="2">
        <v>24</v>
      </c>
      <c r="F30" s="2">
        <v>15</v>
      </c>
    </row>
    <row r="31" spans="1:6" x14ac:dyDescent="0.2">
      <c r="A31" s="1">
        <v>44397</v>
      </c>
      <c r="B31" s="2">
        <v>600</v>
      </c>
      <c r="C31" s="2">
        <v>18</v>
      </c>
      <c r="D31" s="2">
        <v>25</v>
      </c>
      <c r="E31" s="2">
        <v>450</v>
      </c>
      <c r="F31" s="2">
        <v>18</v>
      </c>
    </row>
    <row r="32" spans="1:6" x14ac:dyDescent="0.2">
      <c r="A32" s="1">
        <v>44404</v>
      </c>
      <c r="B32" s="2">
        <v>200</v>
      </c>
      <c r="C32" s="2">
        <v>6</v>
      </c>
      <c r="D32" s="2">
        <v>26</v>
      </c>
      <c r="E32" s="2">
        <v>156</v>
      </c>
      <c r="F32" s="2">
        <v>15</v>
      </c>
    </row>
    <row r="33" spans="1:6" x14ac:dyDescent="0.2">
      <c r="A33" s="1">
        <v>44406</v>
      </c>
      <c r="B33" s="2">
        <v>360</v>
      </c>
      <c r="C33" s="2">
        <v>11</v>
      </c>
      <c r="D33" s="2">
        <v>27</v>
      </c>
      <c r="E33" s="2">
        <v>297</v>
      </c>
      <c r="F33" s="2">
        <v>15</v>
      </c>
    </row>
    <row r="34" spans="1:6" x14ac:dyDescent="0.2">
      <c r="A34" s="1">
        <v>44408</v>
      </c>
      <c r="B34" s="2">
        <v>200</v>
      </c>
      <c r="C34" s="2">
        <v>6</v>
      </c>
      <c r="D34" s="2">
        <v>28</v>
      </c>
      <c r="E34" s="2">
        <v>168</v>
      </c>
      <c r="F34" s="2">
        <v>15</v>
      </c>
    </row>
    <row r="35" spans="1:6" x14ac:dyDescent="0.2">
      <c r="A35" s="1">
        <v>44412</v>
      </c>
      <c r="B35" s="2">
        <v>300</v>
      </c>
      <c r="C35" s="2">
        <v>9</v>
      </c>
      <c r="D35" s="2">
        <v>29</v>
      </c>
      <c r="E35" s="2">
        <v>261</v>
      </c>
      <c r="F35" s="2">
        <v>15</v>
      </c>
    </row>
    <row r="36" spans="1:6" x14ac:dyDescent="0.2">
      <c r="A36" s="1">
        <v>44430</v>
      </c>
      <c r="B36" s="2">
        <v>300</v>
      </c>
      <c r="C36" s="2">
        <v>9</v>
      </c>
      <c r="D36" s="2">
        <v>30</v>
      </c>
      <c r="E36" s="2">
        <v>270</v>
      </c>
      <c r="F36" s="2">
        <v>15</v>
      </c>
    </row>
    <row r="37" spans="1:6" x14ac:dyDescent="0.2">
      <c r="A37" s="1">
        <v>44433</v>
      </c>
      <c r="B37" s="2">
        <v>70</v>
      </c>
      <c r="C37" s="2">
        <v>2</v>
      </c>
      <c r="D37" s="2">
        <v>31</v>
      </c>
      <c r="E37" s="2">
        <v>62</v>
      </c>
      <c r="F37" s="2">
        <v>15</v>
      </c>
    </row>
    <row r="38" spans="1:6" x14ac:dyDescent="0.2">
      <c r="A38" s="1">
        <v>44434</v>
      </c>
      <c r="B38" s="2">
        <v>516.5</v>
      </c>
      <c r="C38" s="2">
        <v>16</v>
      </c>
      <c r="D38" s="2">
        <v>23</v>
      </c>
      <c r="E38" s="2">
        <v>368</v>
      </c>
      <c r="F38" s="2">
        <v>16</v>
      </c>
    </row>
    <row r="39" spans="1:6" x14ac:dyDescent="0.2">
      <c r="A39" s="1">
        <v>44440</v>
      </c>
      <c r="B39" s="2">
        <v>334.5</v>
      </c>
      <c r="C39" s="2">
        <v>10</v>
      </c>
      <c r="D39" s="2">
        <v>24</v>
      </c>
      <c r="E39" s="2">
        <v>240</v>
      </c>
      <c r="F39" s="2">
        <v>15</v>
      </c>
    </row>
    <row r="40" spans="1:6" x14ac:dyDescent="0.2">
      <c r="A40" s="1">
        <v>44442</v>
      </c>
      <c r="B40" s="2">
        <v>339.5</v>
      </c>
      <c r="C40" s="2">
        <v>10</v>
      </c>
      <c r="D40" s="2">
        <v>25</v>
      </c>
      <c r="E40" s="2">
        <v>250</v>
      </c>
      <c r="F40" s="2">
        <v>15</v>
      </c>
    </row>
    <row r="41" spans="1:6" x14ac:dyDescent="0.2">
      <c r="A41" s="1">
        <v>44449</v>
      </c>
      <c r="B41" s="2">
        <v>360</v>
      </c>
      <c r="C41" s="2">
        <v>11</v>
      </c>
      <c r="D41" s="2">
        <v>26</v>
      </c>
      <c r="E41" s="2">
        <v>286</v>
      </c>
      <c r="F41" s="2">
        <v>15</v>
      </c>
    </row>
    <row r="42" spans="1:6" x14ac:dyDescent="0.2">
      <c r="A42" s="1">
        <v>44468</v>
      </c>
      <c r="B42" s="2">
        <v>102</v>
      </c>
      <c r="C42" s="2">
        <v>3</v>
      </c>
      <c r="D42" s="2">
        <v>27</v>
      </c>
      <c r="E42" s="2">
        <v>81</v>
      </c>
      <c r="F42" s="2">
        <v>15</v>
      </c>
    </row>
    <row r="43" spans="1:6" x14ac:dyDescent="0.2">
      <c r="A43" s="1">
        <v>44469</v>
      </c>
      <c r="B43" s="2">
        <v>245</v>
      </c>
      <c r="C43" s="2">
        <v>8</v>
      </c>
      <c r="D43" s="2">
        <v>28</v>
      </c>
      <c r="E43" s="2">
        <v>224</v>
      </c>
      <c r="F43" s="2">
        <v>15</v>
      </c>
    </row>
    <row r="44" spans="1:6" x14ac:dyDescent="0.2">
      <c r="A44" s="1">
        <v>44470</v>
      </c>
      <c r="B44" s="2">
        <v>245</v>
      </c>
      <c r="C44" s="2">
        <v>8</v>
      </c>
      <c r="D44" s="2">
        <v>29</v>
      </c>
      <c r="E44" s="2">
        <v>232</v>
      </c>
      <c r="F44" s="2">
        <v>15</v>
      </c>
    </row>
    <row r="45" spans="1:6" x14ac:dyDescent="0.2">
      <c r="A45" s="1">
        <v>44472</v>
      </c>
      <c r="B45" s="2">
        <v>245</v>
      </c>
      <c r="C45" s="2">
        <v>8</v>
      </c>
      <c r="D45" s="2">
        <v>30</v>
      </c>
      <c r="E45" s="2">
        <v>240</v>
      </c>
      <c r="F45" s="2">
        <v>15</v>
      </c>
    </row>
    <row r="46" spans="1:6" x14ac:dyDescent="0.2">
      <c r="A46" s="1">
        <v>44473</v>
      </c>
      <c r="B46" s="2">
        <v>300</v>
      </c>
      <c r="C46" s="2">
        <v>9</v>
      </c>
      <c r="D46" s="2">
        <v>31</v>
      </c>
      <c r="E46" s="2">
        <v>279</v>
      </c>
      <c r="F46" s="2">
        <v>15</v>
      </c>
    </row>
    <row r="47" spans="1:6" x14ac:dyDescent="0.2">
      <c r="A47" s="1">
        <v>44474</v>
      </c>
      <c r="B47" s="2">
        <v>600</v>
      </c>
      <c r="C47" s="2">
        <v>18</v>
      </c>
      <c r="D47" s="2">
        <v>23</v>
      </c>
      <c r="E47" s="2">
        <v>414</v>
      </c>
      <c r="F47" s="2">
        <v>18</v>
      </c>
    </row>
    <row r="48" spans="1:6" x14ac:dyDescent="0.2">
      <c r="A48" s="1">
        <v>44481</v>
      </c>
      <c r="B48" s="2">
        <v>530</v>
      </c>
      <c r="C48" s="2">
        <v>16</v>
      </c>
      <c r="D48" s="2">
        <v>24</v>
      </c>
      <c r="E48" s="2">
        <v>384</v>
      </c>
      <c r="F48" s="2">
        <v>16</v>
      </c>
    </row>
    <row r="49" spans="1:6" x14ac:dyDescent="0.2">
      <c r="A49" s="1">
        <v>44494</v>
      </c>
      <c r="B49" s="2">
        <v>300</v>
      </c>
      <c r="C49" s="2">
        <v>9</v>
      </c>
      <c r="D49" s="2">
        <v>25</v>
      </c>
      <c r="E49" s="2">
        <v>225</v>
      </c>
      <c r="F49" s="2">
        <v>15</v>
      </c>
    </row>
    <row r="50" spans="1:6" x14ac:dyDescent="0.2">
      <c r="A50" s="1">
        <v>44495</v>
      </c>
      <c r="B50" s="2">
        <v>200</v>
      </c>
      <c r="C50" s="2">
        <v>6</v>
      </c>
      <c r="D50" s="2">
        <v>26</v>
      </c>
      <c r="E50" s="2">
        <v>156</v>
      </c>
      <c r="F50" s="2">
        <v>15</v>
      </c>
    </row>
    <row r="51" spans="1:6" x14ac:dyDescent="0.2">
      <c r="A51" s="1">
        <v>44496</v>
      </c>
      <c r="B51" s="2">
        <v>600</v>
      </c>
      <c r="C51" s="2">
        <v>18</v>
      </c>
      <c r="D51" s="2">
        <v>27</v>
      </c>
      <c r="E51" s="2">
        <v>486</v>
      </c>
      <c r="F51" s="2">
        <v>18</v>
      </c>
    </row>
    <row r="52" spans="1:6" x14ac:dyDescent="0.2">
      <c r="A52" s="1">
        <v>44498</v>
      </c>
      <c r="B52" s="2">
        <v>300</v>
      </c>
      <c r="C52" s="2">
        <v>9</v>
      </c>
      <c r="D52" s="2">
        <v>28</v>
      </c>
      <c r="E52" s="2">
        <v>252</v>
      </c>
      <c r="F52" s="2">
        <v>15</v>
      </c>
    </row>
    <row r="53" spans="1:6" x14ac:dyDescent="0.2">
      <c r="A53" s="1">
        <v>44509</v>
      </c>
      <c r="B53" s="2">
        <v>325</v>
      </c>
      <c r="C53" s="2">
        <v>10</v>
      </c>
      <c r="D53" s="2">
        <v>29</v>
      </c>
      <c r="E53" s="2">
        <v>290</v>
      </c>
      <c r="F53" s="2">
        <v>15</v>
      </c>
    </row>
    <row r="54" spans="1:6" x14ac:dyDescent="0.2">
      <c r="A54" s="1">
        <v>44512</v>
      </c>
      <c r="B54" s="2">
        <v>90</v>
      </c>
      <c r="C54" s="2">
        <v>3</v>
      </c>
      <c r="D54" s="2">
        <v>30</v>
      </c>
      <c r="E54" s="2">
        <v>90</v>
      </c>
      <c r="F54" s="2">
        <v>15</v>
      </c>
    </row>
    <row r="55" spans="1:6" x14ac:dyDescent="0.2">
      <c r="A55" s="1">
        <v>44518</v>
      </c>
      <c r="B55" s="2">
        <v>640</v>
      </c>
      <c r="C55" s="2">
        <v>20</v>
      </c>
      <c r="D55" s="2">
        <v>31</v>
      </c>
      <c r="E55" s="2">
        <v>620</v>
      </c>
      <c r="F55" s="2">
        <v>20</v>
      </c>
    </row>
    <row r="56" spans="1:6" x14ac:dyDescent="0.2">
      <c r="A56" s="1">
        <v>44523</v>
      </c>
      <c r="B56" s="2">
        <v>300</v>
      </c>
      <c r="C56" s="2">
        <v>9</v>
      </c>
      <c r="D56" s="2">
        <v>23</v>
      </c>
      <c r="E56" s="2">
        <v>207</v>
      </c>
      <c r="F56" s="2">
        <v>15</v>
      </c>
    </row>
    <row r="57" spans="1:6" x14ac:dyDescent="0.2">
      <c r="A57" s="1">
        <v>44525</v>
      </c>
      <c r="B57" s="2">
        <v>342</v>
      </c>
      <c r="C57" s="2">
        <v>11</v>
      </c>
      <c r="D57" s="2">
        <v>24</v>
      </c>
      <c r="E57" s="2">
        <v>264</v>
      </c>
      <c r="F57" s="2">
        <v>15</v>
      </c>
    </row>
    <row r="58" spans="1:6" x14ac:dyDescent="0.2">
      <c r="A58" s="1">
        <v>44527</v>
      </c>
      <c r="B58" s="2">
        <v>400</v>
      </c>
      <c r="C58" s="2">
        <v>12</v>
      </c>
      <c r="D58" s="2">
        <v>25</v>
      </c>
      <c r="E58" s="2">
        <v>300</v>
      </c>
      <c r="F58" s="2">
        <v>15</v>
      </c>
    </row>
    <row r="59" spans="1:6" x14ac:dyDescent="0.2">
      <c r="A59" s="1">
        <v>44531</v>
      </c>
      <c r="B59" s="2">
        <v>130</v>
      </c>
      <c r="C59" s="2">
        <v>4</v>
      </c>
      <c r="D59" s="2">
        <v>26</v>
      </c>
      <c r="E59" s="2">
        <v>104</v>
      </c>
      <c r="F59" s="2">
        <v>15</v>
      </c>
    </row>
    <row r="60" spans="1:6" x14ac:dyDescent="0.2">
      <c r="A60" s="1">
        <v>44540</v>
      </c>
      <c r="B60" s="2">
        <v>90</v>
      </c>
      <c r="C60" s="2">
        <v>3</v>
      </c>
      <c r="D60" s="2">
        <v>27</v>
      </c>
      <c r="E60" s="2">
        <v>81</v>
      </c>
      <c r="F60" s="2">
        <v>15</v>
      </c>
    </row>
    <row r="61" spans="1:6" x14ac:dyDescent="0.2">
      <c r="A61" s="1">
        <v>44543</v>
      </c>
      <c r="B61" s="2">
        <v>345</v>
      </c>
      <c r="C61" s="2">
        <v>11</v>
      </c>
      <c r="D61" s="2">
        <v>28</v>
      </c>
      <c r="E61" s="2">
        <v>308</v>
      </c>
      <c r="F61" s="2">
        <v>15</v>
      </c>
    </row>
    <row r="62" spans="1:6" x14ac:dyDescent="0.2">
      <c r="A62" s="1">
        <v>44544</v>
      </c>
      <c r="B62" s="2">
        <v>40</v>
      </c>
      <c r="C62" s="2">
        <v>1</v>
      </c>
      <c r="D62" s="2">
        <v>29</v>
      </c>
      <c r="E62" s="2">
        <v>29</v>
      </c>
      <c r="F62" s="2">
        <v>15</v>
      </c>
    </row>
    <row r="63" spans="1:6" x14ac:dyDescent="0.2">
      <c r="A63" s="1">
        <v>44551</v>
      </c>
      <c r="B63" s="2">
        <v>300</v>
      </c>
      <c r="C63" s="2">
        <v>9</v>
      </c>
      <c r="D63" s="2">
        <v>30</v>
      </c>
      <c r="E63" s="2">
        <v>270</v>
      </c>
      <c r="F63" s="2">
        <v>15</v>
      </c>
    </row>
    <row r="64" spans="1:6" x14ac:dyDescent="0.2">
      <c r="A64" s="1">
        <v>44552</v>
      </c>
      <c r="B64" s="2">
        <v>472</v>
      </c>
      <c r="C64" s="2">
        <v>15</v>
      </c>
      <c r="D64" s="2">
        <v>31</v>
      </c>
      <c r="E64" s="2">
        <v>465</v>
      </c>
      <c r="F64" s="2">
        <v>15</v>
      </c>
    </row>
    <row r="65" spans="1:6" x14ac:dyDescent="0.2">
      <c r="A65" s="1">
        <v>44553</v>
      </c>
      <c r="B65" s="2">
        <v>300</v>
      </c>
      <c r="C65" s="2">
        <v>9</v>
      </c>
      <c r="D65" s="2">
        <v>23</v>
      </c>
      <c r="E65" s="2">
        <v>207</v>
      </c>
      <c r="F65" s="2">
        <v>15</v>
      </c>
    </row>
    <row r="66" spans="1:6" x14ac:dyDescent="0.2">
      <c r="A66" s="1">
        <v>44558</v>
      </c>
      <c r="B66" s="2">
        <v>1625</v>
      </c>
      <c r="C66" s="2">
        <v>50</v>
      </c>
      <c r="D66" s="2">
        <v>24</v>
      </c>
      <c r="E66" s="2">
        <v>1200</v>
      </c>
      <c r="F66" s="2">
        <v>20</v>
      </c>
    </row>
    <row r="67" spans="1:6" x14ac:dyDescent="0.2">
      <c r="A67" s="1">
        <v>44560</v>
      </c>
      <c r="B67" s="2">
        <v>325</v>
      </c>
      <c r="C67" s="2">
        <v>10</v>
      </c>
      <c r="D67" s="2">
        <v>25</v>
      </c>
      <c r="E67" s="2">
        <v>250</v>
      </c>
      <c r="F67" s="2">
        <v>15</v>
      </c>
    </row>
    <row r="69" spans="1:6" x14ac:dyDescent="0.2">
      <c r="A69" s="1" t="s">
        <v>4</v>
      </c>
      <c r="B69" s="2">
        <f>SUM(B2:B67)</f>
        <v>21133</v>
      </c>
      <c r="C69" s="2">
        <f>SUM(C2:C67)</f>
        <v>645</v>
      </c>
      <c r="E69" s="2">
        <f>SUM(E2:E67)</f>
        <v>17175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23CE-9BC8-4DA7-AE7B-5EC14ADFAAEA}">
  <dimension ref="A1:D150"/>
  <sheetViews>
    <sheetView topLeftCell="A118" workbookViewId="0">
      <selection activeCell="C32" sqref="C32"/>
    </sheetView>
  </sheetViews>
  <sheetFormatPr defaultRowHeight="12.75" x14ac:dyDescent="0.2"/>
  <cols>
    <col min="1" max="1" width="14.7109375" style="1" customWidth="1"/>
    <col min="2" max="2" width="11.85546875" style="2" bestFit="1" customWidth="1"/>
    <col min="3" max="3" width="10.140625" style="2" bestFit="1" customWidth="1"/>
    <col min="4" max="4" width="9.85546875" style="2" bestFit="1" customWidth="1"/>
  </cols>
  <sheetData>
    <row r="1" spans="1:4" x14ac:dyDescent="0.2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">
        <v>44231</v>
      </c>
      <c r="B2" s="2">
        <v>3</v>
      </c>
      <c r="C2" s="2">
        <v>63.400909089999999</v>
      </c>
      <c r="D2" s="2">
        <v>190.2</v>
      </c>
    </row>
    <row r="3" spans="1:4" x14ac:dyDescent="0.2">
      <c r="A3" s="1">
        <v>44242</v>
      </c>
      <c r="B3" s="2">
        <v>4</v>
      </c>
      <c r="C3" s="2">
        <v>63.400909089999999</v>
      </c>
      <c r="D3" s="2">
        <v>253.6</v>
      </c>
    </row>
    <row r="4" spans="1:4" x14ac:dyDescent="0.2">
      <c r="A4" s="1">
        <v>44250</v>
      </c>
      <c r="B4" s="2">
        <v>4</v>
      </c>
      <c r="C4" s="2">
        <v>63.400909089999999</v>
      </c>
      <c r="D4" s="2">
        <v>253.6</v>
      </c>
    </row>
    <row r="5" spans="1:4" x14ac:dyDescent="0.2">
      <c r="A5" s="1">
        <v>44256</v>
      </c>
      <c r="B5" s="2">
        <v>2</v>
      </c>
      <c r="C5" s="2">
        <v>21.475208330000001</v>
      </c>
      <c r="D5" s="2">
        <v>42.95</v>
      </c>
    </row>
    <row r="6" spans="1:4" x14ac:dyDescent="0.2">
      <c r="A6" s="1">
        <v>44258</v>
      </c>
      <c r="B6" s="2">
        <v>3</v>
      </c>
      <c r="C6" s="2">
        <v>21.475208330000001</v>
      </c>
      <c r="D6" s="2">
        <v>64.430000000000007</v>
      </c>
    </row>
    <row r="7" spans="1:4" x14ac:dyDescent="0.2">
      <c r="A7" s="1">
        <v>44260</v>
      </c>
      <c r="B7" s="2">
        <v>4</v>
      </c>
      <c r="C7" s="2">
        <v>21.475208330000001</v>
      </c>
      <c r="D7" s="2">
        <v>85.9</v>
      </c>
    </row>
    <row r="8" spans="1:4" x14ac:dyDescent="0.2">
      <c r="A8" s="1">
        <v>44264</v>
      </c>
      <c r="B8" s="2">
        <v>5</v>
      </c>
      <c r="C8" s="2">
        <v>21.475208330000001</v>
      </c>
      <c r="D8" s="2">
        <v>107.38</v>
      </c>
    </row>
    <row r="9" spans="1:4" x14ac:dyDescent="0.2">
      <c r="A9" s="1">
        <v>44266</v>
      </c>
      <c r="B9" s="2">
        <v>6</v>
      </c>
      <c r="C9" s="2">
        <v>21.475208330000001</v>
      </c>
      <c r="D9" s="2">
        <v>128.85</v>
      </c>
    </row>
    <row r="10" spans="1:4" x14ac:dyDescent="0.2">
      <c r="A10" s="1">
        <v>44270</v>
      </c>
      <c r="B10" s="2">
        <v>4</v>
      </c>
      <c r="C10" s="2">
        <v>21.475208330000001</v>
      </c>
      <c r="D10" s="2">
        <v>85.9</v>
      </c>
    </row>
    <row r="11" spans="1:4" x14ac:dyDescent="0.2">
      <c r="A11" s="1">
        <v>44272</v>
      </c>
      <c r="B11" s="2">
        <v>2</v>
      </c>
      <c r="C11" s="2">
        <v>21.475208330000001</v>
      </c>
      <c r="D11" s="2">
        <v>42.95</v>
      </c>
    </row>
    <row r="12" spans="1:4" x14ac:dyDescent="0.2">
      <c r="A12" s="1">
        <v>44274</v>
      </c>
      <c r="B12" s="2">
        <v>3</v>
      </c>
      <c r="C12" s="2">
        <v>21.475208330000001</v>
      </c>
      <c r="D12" s="2">
        <v>64.430000000000007</v>
      </c>
    </row>
    <row r="13" spans="1:4" x14ac:dyDescent="0.2">
      <c r="A13" s="1">
        <v>44278</v>
      </c>
      <c r="B13" s="2">
        <v>4</v>
      </c>
      <c r="C13" s="2">
        <v>21.475208330000001</v>
      </c>
      <c r="D13" s="2">
        <v>85.9</v>
      </c>
    </row>
    <row r="14" spans="1:4" x14ac:dyDescent="0.2">
      <c r="A14" s="1">
        <v>44280</v>
      </c>
      <c r="B14" s="2">
        <v>5</v>
      </c>
      <c r="C14" s="2">
        <v>21.475208330000001</v>
      </c>
      <c r="D14" s="2">
        <v>107.38</v>
      </c>
    </row>
    <row r="15" spans="1:4" x14ac:dyDescent="0.2">
      <c r="A15" s="1">
        <v>44284</v>
      </c>
      <c r="B15" s="2">
        <v>6</v>
      </c>
      <c r="C15" s="2">
        <v>21.475208330000001</v>
      </c>
      <c r="D15" s="2">
        <v>128.85</v>
      </c>
    </row>
    <row r="16" spans="1:4" x14ac:dyDescent="0.2">
      <c r="A16" s="1">
        <v>44286</v>
      </c>
      <c r="B16" s="2">
        <v>4</v>
      </c>
      <c r="C16" s="2">
        <v>21.475208330000001</v>
      </c>
      <c r="D16" s="2">
        <v>85.9</v>
      </c>
    </row>
    <row r="17" spans="1:4" x14ac:dyDescent="0.2">
      <c r="A17" s="1">
        <v>44288</v>
      </c>
      <c r="B17" s="2">
        <v>2</v>
      </c>
      <c r="C17" s="2">
        <v>32.367297299999997</v>
      </c>
      <c r="D17" s="2">
        <v>64.73</v>
      </c>
    </row>
    <row r="18" spans="1:4" x14ac:dyDescent="0.2">
      <c r="A18" s="1">
        <v>44292</v>
      </c>
      <c r="B18" s="2">
        <v>3</v>
      </c>
      <c r="C18" s="2">
        <v>32.367297299999997</v>
      </c>
      <c r="D18" s="2">
        <v>97.1</v>
      </c>
    </row>
    <row r="19" spans="1:4" x14ac:dyDescent="0.2">
      <c r="A19" s="1">
        <v>44294</v>
      </c>
      <c r="B19" s="2">
        <v>4</v>
      </c>
      <c r="C19" s="2">
        <v>32.367297299999997</v>
      </c>
      <c r="D19" s="2">
        <v>129.47</v>
      </c>
    </row>
    <row r="20" spans="1:4" x14ac:dyDescent="0.2">
      <c r="A20" s="1">
        <v>44298</v>
      </c>
      <c r="B20" s="2">
        <v>5</v>
      </c>
      <c r="C20" s="2">
        <v>32.367297299999997</v>
      </c>
      <c r="D20" s="2">
        <v>161.84</v>
      </c>
    </row>
    <row r="21" spans="1:4" x14ac:dyDescent="0.2">
      <c r="A21" s="1">
        <v>44300</v>
      </c>
      <c r="B21" s="2">
        <v>6</v>
      </c>
      <c r="C21" s="2">
        <v>32.367297299999997</v>
      </c>
      <c r="D21" s="2">
        <v>194.2</v>
      </c>
    </row>
    <row r="22" spans="1:4" x14ac:dyDescent="0.2">
      <c r="A22" s="1">
        <v>44305</v>
      </c>
      <c r="B22" s="2">
        <v>4</v>
      </c>
      <c r="C22" s="2">
        <v>32.367297299999997</v>
      </c>
      <c r="D22" s="2">
        <v>129.47</v>
      </c>
    </row>
    <row r="23" spans="1:4" x14ac:dyDescent="0.2">
      <c r="A23" s="1">
        <v>44307</v>
      </c>
      <c r="B23" s="2">
        <v>2</v>
      </c>
      <c r="C23" s="2">
        <v>32.367297299999997</v>
      </c>
      <c r="D23" s="2">
        <v>64.73</v>
      </c>
    </row>
    <row r="24" spans="1:4" x14ac:dyDescent="0.2">
      <c r="A24" s="1">
        <v>44309</v>
      </c>
      <c r="B24" s="2">
        <v>3</v>
      </c>
      <c r="C24" s="2">
        <v>32.367297299999997</v>
      </c>
      <c r="D24" s="2">
        <v>97.1</v>
      </c>
    </row>
    <row r="25" spans="1:4" x14ac:dyDescent="0.2">
      <c r="A25" s="1">
        <v>44313</v>
      </c>
      <c r="B25" s="2">
        <v>4</v>
      </c>
      <c r="C25" s="2">
        <v>32.367297299999997</v>
      </c>
      <c r="D25" s="2">
        <v>129.47</v>
      </c>
    </row>
    <row r="26" spans="1:4" x14ac:dyDescent="0.2">
      <c r="A26" s="1">
        <v>44315</v>
      </c>
      <c r="B26" s="2">
        <v>4</v>
      </c>
      <c r="C26" s="2">
        <v>32.367297299999997</v>
      </c>
      <c r="D26" s="2">
        <v>129.47</v>
      </c>
    </row>
    <row r="27" spans="1:4" x14ac:dyDescent="0.2">
      <c r="A27" s="1">
        <v>44320</v>
      </c>
      <c r="B27" s="2">
        <v>2</v>
      </c>
      <c r="C27" s="2">
        <v>32.018378380000001</v>
      </c>
      <c r="D27" s="2">
        <v>64.040000000000006</v>
      </c>
    </row>
    <row r="28" spans="1:4" x14ac:dyDescent="0.2">
      <c r="A28" s="1">
        <v>44322</v>
      </c>
      <c r="B28" s="2">
        <v>3</v>
      </c>
      <c r="C28" s="2">
        <v>32.018378380000001</v>
      </c>
      <c r="D28" s="2">
        <v>96.06</v>
      </c>
    </row>
    <row r="29" spans="1:4" x14ac:dyDescent="0.2">
      <c r="A29" s="1">
        <v>44326</v>
      </c>
      <c r="B29" s="2">
        <v>4</v>
      </c>
      <c r="C29" s="2">
        <v>32.018378380000001</v>
      </c>
      <c r="D29" s="2">
        <v>128.07</v>
      </c>
    </row>
    <row r="30" spans="1:4" x14ac:dyDescent="0.2">
      <c r="A30" s="1">
        <v>44328</v>
      </c>
      <c r="B30" s="2">
        <v>5</v>
      </c>
      <c r="C30" s="2">
        <v>32.018378380000001</v>
      </c>
      <c r="D30" s="2">
        <v>160.09</v>
      </c>
    </row>
    <row r="31" spans="1:4" x14ac:dyDescent="0.2">
      <c r="A31" s="1">
        <v>44330</v>
      </c>
      <c r="B31" s="2">
        <v>6</v>
      </c>
      <c r="C31" s="2">
        <v>32.018378380000001</v>
      </c>
      <c r="D31" s="2">
        <v>192.11</v>
      </c>
    </row>
    <row r="32" spans="1:4" x14ac:dyDescent="0.2">
      <c r="A32" s="1">
        <v>44334</v>
      </c>
      <c r="B32" s="2">
        <v>4</v>
      </c>
      <c r="C32" s="2">
        <v>32.018378380000001</v>
      </c>
      <c r="D32" s="2">
        <v>128.07</v>
      </c>
    </row>
    <row r="33" spans="1:4" x14ac:dyDescent="0.2">
      <c r="A33" s="1">
        <v>44336</v>
      </c>
      <c r="B33" s="2">
        <v>2</v>
      </c>
      <c r="C33" s="2">
        <v>32.018378380000001</v>
      </c>
      <c r="D33" s="2">
        <v>64.040000000000006</v>
      </c>
    </row>
    <row r="34" spans="1:4" x14ac:dyDescent="0.2">
      <c r="A34" s="1">
        <v>44340</v>
      </c>
      <c r="B34" s="2">
        <v>3</v>
      </c>
      <c r="C34" s="2">
        <v>32.018378380000001</v>
      </c>
      <c r="D34" s="2">
        <v>96.06</v>
      </c>
    </row>
    <row r="35" spans="1:4" x14ac:dyDescent="0.2">
      <c r="A35" s="1">
        <v>44342</v>
      </c>
      <c r="B35" s="2">
        <v>4</v>
      </c>
      <c r="C35" s="2">
        <v>32.018378380000001</v>
      </c>
      <c r="D35" s="2">
        <v>128.07</v>
      </c>
    </row>
    <row r="36" spans="1:4" x14ac:dyDescent="0.2">
      <c r="A36" s="1">
        <v>44344</v>
      </c>
      <c r="B36" s="2">
        <v>4</v>
      </c>
      <c r="C36" s="2">
        <v>32.018378380000001</v>
      </c>
      <c r="D36" s="2">
        <v>128.07</v>
      </c>
    </row>
    <row r="37" spans="1:4" x14ac:dyDescent="0.2">
      <c r="A37" s="1">
        <v>44349</v>
      </c>
      <c r="B37" s="2">
        <v>3</v>
      </c>
      <c r="C37" s="2">
        <v>54.505357140000001</v>
      </c>
      <c r="D37" s="2">
        <v>163.52000000000001</v>
      </c>
    </row>
    <row r="38" spans="1:4" x14ac:dyDescent="0.2">
      <c r="A38" s="1">
        <v>44354</v>
      </c>
      <c r="B38" s="2">
        <v>4</v>
      </c>
      <c r="C38" s="2">
        <v>54.505357140000001</v>
      </c>
      <c r="D38" s="2">
        <v>218.02</v>
      </c>
    </row>
    <row r="39" spans="1:4" x14ac:dyDescent="0.2">
      <c r="A39" s="1">
        <v>44357</v>
      </c>
      <c r="B39" s="2">
        <v>4</v>
      </c>
      <c r="C39" s="2">
        <v>54.505357140000001</v>
      </c>
      <c r="D39" s="2">
        <v>218.02</v>
      </c>
    </row>
    <row r="40" spans="1:4" x14ac:dyDescent="0.2">
      <c r="A40" s="1">
        <v>44363</v>
      </c>
      <c r="B40" s="2">
        <v>5</v>
      </c>
      <c r="C40" s="2">
        <v>54.505357140000001</v>
      </c>
      <c r="D40" s="2">
        <v>272.52999999999997</v>
      </c>
    </row>
    <row r="41" spans="1:4" x14ac:dyDescent="0.2">
      <c r="A41" s="1">
        <v>44368</v>
      </c>
      <c r="B41" s="2">
        <v>6</v>
      </c>
      <c r="C41" s="2">
        <v>54.505357140000001</v>
      </c>
      <c r="D41" s="2">
        <v>327.02999999999997</v>
      </c>
    </row>
    <row r="42" spans="1:4" x14ac:dyDescent="0.2">
      <c r="A42" s="1">
        <v>44371</v>
      </c>
      <c r="B42" s="2">
        <v>4</v>
      </c>
      <c r="C42" s="2">
        <v>54.505357140000001</v>
      </c>
      <c r="D42" s="2">
        <v>218.02</v>
      </c>
    </row>
    <row r="43" spans="1:4" x14ac:dyDescent="0.2">
      <c r="A43" s="1">
        <v>44376</v>
      </c>
      <c r="B43" s="2">
        <v>2</v>
      </c>
      <c r="C43" s="2">
        <v>54.505357140000001</v>
      </c>
      <c r="D43" s="2">
        <v>109.01</v>
      </c>
    </row>
    <row r="44" spans="1:4" x14ac:dyDescent="0.2">
      <c r="A44" s="1">
        <v>44378</v>
      </c>
      <c r="B44" s="2">
        <v>5</v>
      </c>
      <c r="C44" s="2">
        <v>12.20921875</v>
      </c>
      <c r="D44" s="2">
        <v>61.05</v>
      </c>
    </row>
    <row r="45" spans="1:4" x14ac:dyDescent="0.2">
      <c r="A45" s="1">
        <v>44379</v>
      </c>
      <c r="B45" s="2">
        <v>6</v>
      </c>
      <c r="C45" s="2">
        <v>12.20921875</v>
      </c>
      <c r="D45" s="2">
        <v>73.260000000000005</v>
      </c>
    </row>
    <row r="46" spans="1:4" x14ac:dyDescent="0.2">
      <c r="A46" s="1">
        <v>44382</v>
      </c>
      <c r="B46" s="2">
        <v>6</v>
      </c>
      <c r="C46" s="2">
        <v>12.20921875</v>
      </c>
      <c r="D46" s="2">
        <v>73.260000000000005</v>
      </c>
    </row>
    <row r="47" spans="1:4" x14ac:dyDescent="0.2">
      <c r="A47" s="1">
        <v>44383</v>
      </c>
      <c r="B47" s="2">
        <v>6</v>
      </c>
      <c r="C47" s="2">
        <v>12.20921875</v>
      </c>
      <c r="D47" s="2">
        <v>73.260000000000005</v>
      </c>
    </row>
    <row r="48" spans="1:4" x14ac:dyDescent="0.2">
      <c r="A48" s="1">
        <v>44384</v>
      </c>
      <c r="B48" s="2">
        <v>6</v>
      </c>
      <c r="C48" s="2">
        <v>12.20921875</v>
      </c>
      <c r="D48" s="2">
        <v>73.260000000000005</v>
      </c>
    </row>
    <row r="49" spans="1:4" x14ac:dyDescent="0.2">
      <c r="A49" s="1">
        <v>44385</v>
      </c>
      <c r="B49" s="2">
        <v>6</v>
      </c>
      <c r="C49" s="2">
        <v>12.20921875</v>
      </c>
      <c r="D49" s="2">
        <v>73.260000000000005</v>
      </c>
    </row>
    <row r="50" spans="1:4" x14ac:dyDescent="0.2">
      <c r="A50" s="1">
        <v>44386</v>
      </c>
      <c r="B50" s="2">
        <v>5</v>
      </c>
      <c r="C50" s="2">
        <v>12.20921875</v>
      </c>
      <c r="D50" s="2">
        <v>61.05</v>
      </c>
    </row>
    <row r="51" spans="1:4" x14ac:dyDescent="0.2">
      <c r="A51" s="1">
        <v>44389</v>
      </c>
      <c r="B51" s="2">
        <v>6</v>
      </c>
      <c r="C51" s="2">
        <v>12.20921875</v>
      </c>
      <c r="D51" s="2">
        <v>73.260000000000005</v>
      </c>
    </row>
    <row r="52" spans="1:4" x14ac:dyDescent="0.2">
      <c r="A52" s="1">
        <v>44390</v>
      </c>
      <c r="B52" s="2">
        <v>6</v>
      </c>
      <c r="C52" s="2">
        <v>12.20921875</v>
      </c>
      <c r="D52" s="2">
        <v>73.260000000000005</v>
      </c>
    </row>
    <row r="53" spans="1:4" x14ac:dyDescent="0.2">
      <c r="A53" s="1">
        <v>44391</v>
      </c>
      <c r="B53" s="2">
        <v>6</v>
      </c>
      <c r="C53" s="2">
        <v>12.20921875</v>
      </c>
      <c r="D53" s="2">
        <v>73.260000000000005</v>
      </c>
    </row>
    <row r="54" spans="1:4" x14ac:dyDescent="0.2">
      <c r="A54" s="1">
        <v>44392</v>
      </c>
      <c r="B54" s="2">
        <v>6</v>
      </c>
      <c r="C54" s="2">
        <v>12.20921875</v>
      </c>
      <c r="D54" s="2">
        <v>73.260000000000005</v>
      </c>
    </row>
    <row r="55" spans="1:4" x14ac:dyDescent="0.2">
      <c r="A55" s="1">
        <v>44393</v>
      </c>
      <c r="B55" s="2">
        <v>6</v>
      </c>
      <c r="C55" s="2">
        <v>12.20921875</v>
      </c>
      <c r="D55" s="2">
        <v>73.260000000000005</v>
      </c>
    </row>
    <row r="56" spans="1:4" x14ac:dyDescent="0.2">
      <c r="A56" s="1">
        <v>44396</v>
      </c>
      <c r="B56" s="2">
        <v>5</v>
      </c>
      <c r="C56" s="2">
        <v>12.20921875</v>
      </c>
      <c r="D56" s="2">
        <v>61.05</v>
      </c>
    </row>
    <row r="57" spans="1:4" x14ac:dyDescent="0.2">
      <c r="A57" s="1">
        <v>44397</v>
      </c>
      <c r="B57" s="2">
        <v>6</v>
      </c>
      <c r="C57" s="2">
        <v>12.20921875</v>
      </c>
      <c r="D57" s="2">
        <v>73.260000000000005</v>
      </c>
    </row>
    <row r="58" spans="1:4" x14ac:dyDescent="0.2">
      <c r="A58" s="1">
        <v>44398</v>
      </c>
      <c r="B58" s="2">
        <v>6</v>
      </c>
      <c r="C58" s="2">
        <v>12.20921875</v>
      </c>
      <c r="D58" s="2">
        <v>73.260000000000005</v>
      </c>
    </row>
    <row r="59" spans="1:4" x14ac:dyDescent="0.2">
      <c r="A59" s="1">
        <v>44399</v>
      </c>
      <c r="B59" s="2">
        <v>6</v>
      </c>
      <c r="C59" s="2">
        <v>12.20921875</v>
      </c>
      <c r="D59" s="2">
        <v>73.260000000000005</v>
      </c>
    </row>
    <row r="60" spans="1:4" x14ac:dyDescent="0.2">
      <c r="A60" s="1">
        <v>44400</v>
      </c>
      <c r="B60" s="2">
        <v>6</v>
      </c>
      <c r="C60" s="2">
        <v>12.20921875</v>
      </c>
      <c r="D60" s="2">
        <v>73.260000000000005</v>
      </c>
    </row>
    <row r="61" spans="1:4" x14ac:dyDescent="0.2">
      <c r="A61" s="1">
        <v>44403</v>
      </c>
      <c r="B61" s="2">
        <v>6</v>
      </c>
      <c r="C61" s="2">
        <v>12.20921875</v>
      </c>
      <c r="D61" s="2">
        <v>73.260000000000005</v>
      </c>
    </row>
    <row r="62" spans="1:4" x14ac:dyDescent="0.2">
      <c r="A62" s="1">
        <v>44404</v>
      </c>
      <c r="B62" s="2">
        <v>5</v>
      </c>
      <c r="C62" s="2">
        <v>12.20921875</v>
      </c>
      <c r="D62" s="2">
        <v>61.05</v>
      </c>
    </row>
    <row r="63" spans="1:4" x14ac:dyDescent="0.2">
      <c r="A63" s="1">
        <v>44405</v>
      </c>
      <c r="B63" s="2">
        <v>6</v>
      </c>
      <c r="C63" s="2">
        <v>12.20921875</v>
      </c>
      <c r="D63" s="2">
        <v>73.260000000000005</v>
      </c>
    </row>
    <row r="64" spans="1:4" x14ac:dyDescent="0.2">
      <c r="A64" s="1">
        <v>44406</v>
      </c>
      <c r="B64" s="2">
        <v>6</v>
      </c>
      <c r="C64" s="2">
        <v>12.20921875</v>
      </c>
      <c r="D64" s="2">
        <v>73.260000000000005</v>
      </c>
    </row>
    <row r="65" spans="1:4" x14ac:dyDescent="0.2">
      <c r="A65" s="1">
        <v>44407</v>
      </c>
      <c r="B65" s="2">
        <v>6</v>
      </c>
      <c r="C65" s="2">
        <v>12.20921875</v>
      </c>
      <c r="D65" s="2">
        <v>73.260000000000005</v>
      </c>
    </row>
    <row r="66" spans="1:4" x14ac:dyDescent="0.2">
      <c r="A66" s="1">
        <v>44411</v>
      </c>
      <c r="B66" s="2">
        <v>3</v>
      </c>
      <c r="C66" s="2">
        <v>40.895555559999998</v>
      </c>
      <c r="D66" s="2">
        <v>122.69</v>
      </c>
    </row>
    <row r="67" spans="1:4" x14ac:dyDescent="0.2">
      <c r="A67" s="1">
        <v>44413</v>
      </c>
      <c r="B67" s="2">
        <v>4</v>
      </c>
      <c r="C67" s="2">
        <v>40.895555559999998</v>
      </c>
      <c r="D67" s="2">
        <v>163.58000000000001</v>
      </c>
    </row>
    <row r="68" spans="1:4" x14ac:dyDescent="0.2">
      <c r="A68" s="1">
        <v>44418</v>
      </c>
      <c r="B68" s="2">
        <v>5</v>
      </c>
      <c r="C68" s="2">
        <v>40.895555559999998</v>
      </c>
      <c r="D68" s="2">
        <v>204.48</v>
      </c>
    </row>
    <row r="69" spans="1:4" x14ac:dyDescent="0.2">
      <c r="A69" s="1">
        <v>44420</v>
      </c>
      <c r="B69" s="2">
        <v>5</v>
      </c>
      <c r="C69" s="2">
        <v>40.895555559999998</v>
      </c>
      <c r="D69" s="2">
        <v>204.48</v>
      </c>
    </row>
    <row r="70" spans="1:4" x14ac:dyDescent="0.2">
      <c r="A70" s="1">
        <v>44425</v>
      </c>
      <c r="B70" s="2">
        <v>6</v>
      </c>
      <c r="C70" s="2">
        <v>40.895555559999998</v>
      </c>
      <c r="D70" s="2">
        <v>245.37</v>
      </c>
    </row>
    <row r="71" spans="1:4" x14ac:dyDescent="0.2">
      <c r="A71" s="1">
        <v>44427</v>
      </c>
      <c r="B71" s="2">
        <v>4</v>
      </c>
      <c r="C71" s="2">
        <v>40.895555559999998</v>
      </c>
      <c r="D71" s="2">
        <v>163.58000000000001</v>
      </c>
    </row>
    <row r="72" spans="1:4" x14ac:dyDescent="0.2">
      <c r="A72" s="1">
        <v>44431</v>
      </c>
      <c r="B72" s="2">
        <v>2</v>
      </c>
      <c r="C72" s="2">
        <v>40.895555559999998</v>
      </c>
      <c r="D72" s="2">
        <v>81.790000000000006</v>
      </c>
    </row>
    <row r="73" spans="1:4" x14ac:dyDescent="0.2">
      <c r="A73" s="1">
        <v>44434</v>
      </c>
      <c r="B73" s="2">
        <v>3</v>
      </c>
      <c r="C73" s="2">
        <v>40.895555559999998</v>
      </c>
      <c r="D73" s="2">
        <v>122.69</v>
      </c>
    </row>
    <row r="74" spans="1:4" x14ac:dyDescent="0.2">
      <c r="A74" s="1">
        <v>44438</v>
      </c>
      <c r="B74" s="2">
        <v>4</v>
      </c>
      <c r="C74" s="2">
        <v>40.895555559999998</v>
      </c>
      <c r="D74" s="2">
        <v>163.58000000000001</v>
      </c>
    </row>
    <row r="75" spans="1:4" x14ac:dyDescent="0.2">
      <c r="A75" s="1">
        <v>44441</v>
      </c>
      <c r="B75" s="2">
        <v>2</v>
      </c>
      <c r="C75" s="2">
        <v>38.956666669999997</v>
      </c>
      <c r="D75" s="2">
        <v>77.91</v>
      </c>
    </row>
    <row r="76" spans="1:4" x14ac:dyDescent="0.2">
      <c r="A76" s="1">
        <v>44445</v>
      </c>
      <c r="B76" s="2">
        <v>3</v>
      </c>
      <c r="C76" s="2">
        <v>38.956666669999997</v>
      </c>
      <c r="D76" s="2">
        <v>116.87</v>
      </c>
    </row>
    <row r="77" spans="1:4" x14ac:dyDescent="0.2">
      <c r="A77" s="1">
        <v>44447</v>
      </c>
      <c r="B77" s="2">
        <v>4</v>
      </c>
      <c r="C77" s="2">
        <v>38.956666669999997</v>
      </c>
      <c r="D77" s="2">
        <v>155.83000000000001</v>
      </c>
    </row>
    <row r="78" spans="1:4" x14ac:dyDescent="0.2">
      <c r="A78" s="1">
        <v>44449</v>
      </c>
      <c r="B78" s="2">
        <v>5</v>
      </c>
      <c r="C78" s="2">
        <v>38.956666669999997</v>
      </c>
      <c r="D78" s="2">
        <v>194.78</v>
      </c>
    </row>
    <row r="79" spans="1:4" x14ac:dyDescent="0.2">
      <c r="A79" s="1">
        <v>44453</v>
      </c>
      <c r="B79" s="2">
        <v>6</v>
      </c>
      <c r="C79" s="2">
        <v>38.956666669999997</v>
      </c>
      <c r="D79" s="2">
        <v>233.74</v>
      </c>
    </row>
    <row r="80" spans="1:4" x14ac:dyDescent="0.2">
      <c r="A80" s="1">
        <v>44455</v>
      </c>
      <c r="B80" s="2">
        <v>4</v>
      </c>
      <c r="C80" s="2">
        <v>38.956666669999997</v>
      </c>
      <c r="D80" s="2">
        <v>155.83000000000001</v>
      </c>
    </row>
    <row r="81" spans="1:4" x14ac:dyDescent="0.2">
      <c r="A81" s="1">
        <v>44459</v>
      </c>
      <c r="B81" s="2">
        <v>2</v>
      </c>
      <c r="C81" s="2">
        <v>38.956666669999997</v>
      </c>
      <c r="D81" s="2">
        <v>77.91</v>
      </c>
    </row>
    <row r="82" spans="1:4" x14ac:dyDescent="0.2">
      <c r="A82" s="1">
        <v>44461</v>
      </c>
      <c r="B82" s="2">
        <v>3</v>
      </c>
      <c r="C82" s="2">
        <v>38.956666669999997</v>
      </c>
      <c r="D82" s="2">
        <v>116.87</v>
      </c>
    </row>
    <row r="83" spans="1:4" x14ac:dyDescent="0.2">
      <c r="A83" s="1">
        <v>44463</v>
      </c>
      <c r="B83" s="2">
        <v>4</v>
      </c>
      <c r="C83" s="2">
        <v>38.956666669999997</v>
      </c>
      <c r="D83" s="2">
        <v>155.83000000000001</v>
      </c>
    </row>
    <row r="84" spans="1:4" x14ac:dyDescent="0.2">
      <c r="A84" s="1">
        <v>44467</v>
      </c>
      <c r="B84" s="2">
        <v>4</v>
      </c>
      <c r="C84" s="2">
        <v>38.956666669999997</v>
      </c>
      <c r="D84" s="2">
        <v>155.83000000000001</v>
      </c>
    </row>
    <row r="85" spans="1:4" x14ac:dyDescent="0.2">
      <c r="A85" s="1">
        <v>44469</v>
      </c>
      <c r="B85" s="2">
        <v>5</v>
      </c>
      <c r="C85" s="2">
        <v>38.956666669999997</v>
      </c>
      <c r="D85" s="2">
        <v>194.78</v>
      </c>
    </row>
    <row r="86" spans="1:4" x14ac:dyDescent="0.2">
      <c r="A86" s="1">
        <v>44470</v>
      </c>
      <c r="B86" s="2">
        <v>4</v>
      </c>
      <c r="C86" s="2">
        <v>17.627524749999999</v>
      </c>
      <c r="D86" s="2">
        <v>70.510000000000005</v>
      </c>
    </row>
    <row r="87" spans="1:4" x14ac:dyDescent="0.2">
      <c r="A87" s="1">
        <v>44473</v>
      </c>
      <c r="B87" s="2">
        <v>5</v>
      </c>
      <c r="C87" s="2">
        <v>17.627524749999999</v>
      </c>
      <c r="D87" s="2">
        <v>88.14</v>
      </c>
    </row>
    <row r="88" spans="1:4" x14ac:dyDescent="0.2">
      <c r="A88" s="1">
        <v>44474</v>
      </c>
      <c r="B88" s="2">
        <v>5</v>
      </c>
      <c r="C88" s="2">
        <v>17.627524749999999</v>
      </c>
      <c r="D88" s="2">
        <v>88.14</v>
      </c>
    </row>
    <row r="89" spans="1:4" x14ac:dyDescent="0.2">
      <c r="A89" s="1">
        <v>44475</v>
      </c>
      <c r="B89" s="2">
        <v>6</v>
      </c>
      <c r="C89" s="2">
        <v>17.627524749999999</v>
      </c>
      <c r="D89" s="2">
        <v>105.77</v>
      </c>
    </row>
    <row r="90" spans="1:4" x14ac:dyDescent="0.2">
      <c r="A90" s="1">
        <v>44476</v>
      </c>
      <c r="B90" s="2">
        <v>6</v>
      </c>
      <c r="C90" s="2">
        <v>17.627524749999999</v>
      </c>
      <c r="D90" s="2">
        <v>105.77</v>
      </c>
    </row>
    <row r="91" spans="1:4" x14ac:dyDescent="0.2">
      <c r="A91" s="1">
        <v>44477</v>
      </c>
      <c r="B91" s="2">
        <v>5</v>
      </c>
      <c r="C91" s="2">
        <v>17.627524749999999</v>
      </c>
      <c r="D91" s="2">
        <v>88.14</v>
      </c>
    </row>
    <row r="92" spans="1:4" x14ac:dyDescent="0.2">
      <c r="A92" s="1">
        <v>44480</v>
      </c>
      <c r="B92" s="2">
        <v>3</v>
      </c>
      <c r="C92" s="2">
        <v>17.627524749999999</v>
      </c>
      <c r="D92" s="2">
        <v>52.88</v>
      </c>
    </row>
    <row r="93" spans="1:4" x14ac:dyDescent="0.2">
      <c r="A93" s="1">
        <v>44481</v>
      </c>
      <c r="B93" s="2">
        <v>4</v>
      </c>
      <c r="C93" s="2">
        <v>17.627524749999999</v>
      </c>
      <c r="D93" s="2">
        <v>70.510000000000005</v>
      </c>
    </row>
    <row r="94" spans="1:4" x14ac:dyDescent="0.2">
      <c r="A94" s="1">
        <v>44482</v>
      </c>
      <c r="B94" s="2">
        <v>5</v>
      </c>
      <c r="C94" s="2">
        <v>17.627524749999999</v>
      </c>
      <c r="D94" s="2">
        <v>88.14</v>
      </c>
    </row>
    <row r="95" spans="1:4" x14ac:dyDescent="0.2">
      <c r="A95" s="1">
        <v>44483</v>
      </c>
      <c r="B95" s="2">
        <v>6</v>
      </c>
      <c r="C95" s="2">
        <v>17.627524749999999</v>
      </c>
      <c r="D95" s="2">
        <v>105.77</v>
      </c>
    </row>
    <row r="96" spans="1:4" x14ac:dyDescent="0.2">
      <c r="A96" s="1">
        <v>44484</v>
      </c>
      <c r="B96" s="2">
        <v>6</v>
      </c>
      <c r="C96" s="2">
        <v>17.627524749999999</v>
      </c>
      <c r="D96" s="2">
        <v>105.77</v>
      </c>
    </row>
    <row r="97" spans="1:4" x14ac:dyDescent="0.2">
      <c r="A97" s="1">
        <v>44487</v>
      </c>
      <c r="B97" s="2">
        <v>5</v>
      </c>
      <c r="C97" s="2">
        <v>17.627524749999999</v>
      </c>
      <c r="D97" s="2">
        <v>88.14</v>
      </c>
    </row>
    <row r="98" spans="1:4" x14ac:dyDescent="0.2">
      <c r="A98" s="1">
        <v>44488</v>
      </c>
      <c r="B98" s="2">
        <v>3</v>
      </c>
      <c r="C98" s="2">
        <v>17.627524749999999</v>
      </c>
      <c r="D98" s="2">
        <v>52.88</v>
      </c>
    </row>
    <row r="99" spans="1:4" x14ac:dyDescent="0.2">
      <c r="A99" s="1">
        <v>44489</v>
      </c>
      <c r="B99" s="2">
        <v>4</v>
      </c>
      <c r="C99" s="2">
        <v>17.627524749999999</v>
      </c>
      <c r="D99" s="2">
        <v>70.510000000000005</v>
      </c>
    </row>
    <row r="100" spans="1:4" x14ac:dyDescent="0.2">
      <c r="A100" s="1">
        <v>44490</v>
      </c>
      <c r="B100" s="2">
        <v>5</v>
      </c>
      <c r="C100" s="2">
        <v>17.627524749999999</v>
      </c>
      <c r="D100" s="2">
        <v>88.14</v>
      </c>
    </row>
    <row r="101" spans="1:4" x14ac:dyDescent="0.2">
      <c r="A101" s="1">
        <v>44491</v>
      </c>
      <c r="B101" s="2">
        <v>6</v>
      </c>
      <c r="C101" s="2">
        <v>17.627524749999999</v>
      </c>
      <c r="D101" s="2">
        <v>105.77</v>
      </c>
    </row>
    <row r="102" spans="1:4" x14ac:dyDescent="0.2">
      <c r="A102" s="1">
        <v>44494</v>
      </c>
      <c r="B102" s="2">
        <v>6</v>
      </c>
      <c r="C102" s="2">
        <v>17.627524749999999</v>
      </c>
      <c r="D102" s="2">
        <v>105.77</v>
      </c>
    </row>
    <row r="103" spans="1:4" x14ac:dyDescent="0.2">
      <c r="A103" s="1">
        <v>44495</v>
      </c>
      <c r="B103" s="2">
        <v>5</v>
      </c>
      <c r="C103" s="2">
        <v>17.627524749999999</v>
      </c>
      <c r="D103" s="2">
        <v>88.14</v>
      </c>
    </row>
    <row r="104" spans="1:4" x14ac:dyDescent="0.2">
      <c r="A104" s="1">
        <v>44496</v>
      </c>
      <c r="B104" s="2">
        <v>3</v>
      </c>
      <c r="C104" s="2">
        <v>17.627524749999999</v>
      </c>
      <c r="D104" s="2">
        <v>52.88</v>
      </c>
    </row>
    <row r="105" spans="1:4" x14ac:dyDescent="0.2">
      <c r="A105" s="1">
        <v>44497</v>
      </c>
      <c r="B105" s="2">
        <v>4</v>
      </c>
      <c r="C105" s="2">
        <v>17.627524749999999</v>
      </c>
      <c r="D105" s="2">
        <v>70.510000000000005</v>
      </c>
    </row>
    <row r="106" spans="1:4" x14ac:dyDescent="0.2">
      <c r="A106" s="1">
        <v>44498</v>
      </c>
      <c r="B106" s="2">
        <v>5</v>
      </c>
      <c r="C106" s="2">
        <v>17.627524749999999</v>
      </c>
      <c r="D106" s="2">
        <v>88.14</v>
      </c>
    </row>
    <row r="107" spans="1:4" x14ac:dyDescent="0.2">
      <c r="A107" s="1">
        <v>44501</v>
      </c>
      <c r="B107" s="2">
        <v>2</v>
      </c>
      <c r="C107" s="2">
        <v>35.043384619999998</v>
      </c>
      <c r="D107" s="2">
        <v>70.09</v>
      </c>
    </row>
    <row r="108" spans="1:4" x14ac:dyDescent="0.2">
      <c r="A108" s="1">
        <v>44502</v>
      </c>
      <c r="B108" s="2">
        <v>3</v>
      </c>
      <c r="C108" s="2">
        <v>35.043384619999998</v>
      </c>
      <c r="D108" s="2">
        <v>105.13</v>
      </c>
    </row>
    <row r="109" spans="1:4" x14ac:dyDescent="0.2">
      <c r="A109" s="1">
        <v>44504</v>
      </c>
      <c r="B109" s="2">
        <v>4</v>
      </c>
      <c r="C109" s="2">
        <v>35.043384619999998</v>
      </c>
      <c r="D109" s="2">
        <v>140.16999999999999</v>
      </c>
    </row>
    <row r="110" spans="1:4" x14ac:dyDescent="0.2">
      <c r="A110" s="1">
        <v>44505</v>
      </c>
      <c r="B110" s="2">
        <v>5</v>
      </c>
      <c r="C110" s="2">
        <v>35.043384619999998</v>
      </c>
      <c r="D110" s="2">
        <v>175.22</v>
      </c>
    </row>
    <row r="111" spans="1:4" x14ac:dyDescent="0.2">
      <c r="A111" s="1">
        <v>44508</v>
      </c>
      <c r="B111" s="2">
        <v>6</v>
      </c>
      <c r="C111" s="2">
        <v>35.043384619999998</v>
      </c>
      <c r="D111" s="2">
        <v>210.26</v>
      </c>
    </row>
    <row r="112" spans="1:4" x14ac:dyDescent="0.2">
      <c r="A112" s="1">
        <v>44510</v>
      </c>
      <c r="B112" s="2">
        <v>4</v>
      </c>
      <c r="C112" s="2">
        <v>35.043384619999998</v>
      </c>
      <c r="D112" s="2">
        <v>140.16999999999999</v>
      </c>
    </row>
    <row r="113" spans="1:4" x14ac:dyDescent="0.2">
      <c r="A113" s="1">
        <v>44511</v>
      </c>
      <c r="B113" s="2">
        <v>2</v>
      </c>
      <c r="C113" s="2">
        <v>35.043384619999998</v>
      </c>
      <c r="D113" s="2">
        <v>70.09</v>
      </c>
    </row>
    <row r="114" spans="1:4" x14ac:dyDescent="0.2">
      <c r="A114" s="1">
        <v>44512</v>
      </c>
      <c r="B114" s="2">
        <v>3</v>
      </c>
      <c r="C114" s="2">
        <v>35.043384619999998</v>
      </c>
      <c r="D114" s="2">
        <v>105.13</v>
      </c>
    </row>
    <row r="115" spans="1:4" x14ac:dyDescent="0.2">
      <c r="A115" s="1">
        <v>44516</v>
      </c>
      <c r="B115" s="2">
        <v>4</v>
      </c>
      <c r="C115" s="2">
        <v>35.043384619999998</v>
      </c>
      <c r="D115" s="2">
        <v>140.16999999999999</v>
      </c>
    </row>
    <row r="116" spans="1:4" x14ac:dyDescent="0.2">
      <c r="A116" s="1">
        <v>44517</v>
      </c>
      <c r="B116" s="2">
        <v>5</v>
      </c>
      <c r="C116" s="2">
        <v>35.043384619999998</v>
      </c>
      <c r="D116" s="2">
        <v>175.22</v>
      </c>
    </row>
    <row r="117" spans="1:4" x14ac:dyDescent="0.2">
      <c r="A117" s="1">
        <v>44518</v>
      </c>
      <c r="B117" s="2">
        <v>6</v>
      </c>
      <c r="C117" s="2">
        <v>35.043384619999998</v>
      </c>
      <c r="D117" s="2">
        <v>210.26</v>
      </c>
    </row>
    <row r="118" spans="1:4" x14ac:dyDescent="0.2">
      <c r="A118" s="1">
        <v>44519</v>
      </c>
      <c r="B118" s="2">
        <v>4</v>
      </c>
      <c r="C118" s="2">
        <v>35.043384619999998</v>
      </c>
      <c r="D118" s="2">
        <v>140.16999999999999</v>
      </c>
    </row>
    <row r="119" spans="1:4" x14ac:dyDescent="0.2">
      <c r="A119" s="1">
        <v>44523</v>
      </c>
      <c r="B119" s="2">
        <v>2</v>
      </c>
      <c r="C119" s="2">
        <v>35.043384619999998</v>
      </c>
      <c r="D119" s="2">
        <v>70.09</v>
      </c>
    </row>
    <row r="120" spans="1:4" x14ac:dyDescent="0.2">
      <c r="A120" s="1">
        <v>44524</v>
      </c>
      <c r="B120" s="2">
        <v>3</v>
      </c>
      <c r="C120" s="2">
        <v>35.043384619999998</v>
      </c>
      <c r="D120" s="2">
        <v>105.13</v>
      </c>
    </row>
    <row r="121" spans="1:4" x14ac:dyDescent="0.2">
      <c r="A121" s="1">
        <v>44525</v>
      </c>
      <c r="B121" s="2">
        <v>3</v>
      </c>
      <c r="C121" s="2">
        <v>35.043384619999998</v>
      </c>
      <c r="D121" s="2">
        <v>105.13</v>
      </c>
    </row>
    <row r="122" spans="1:4" x14ac:dyDescent="0.2">
      <c r="A122" s="1">
        <v>44529</v>
      </c>
      <c r="B122" s="2">
        <v>4</v>
      </c>
      <c r="C122" s="2">
        <v>35.043384619999998</v>
      </c>
      <c r="D122" s="2">
        <v>140.16999999999999</v>
      </c>
    </row>
    <row r="123" spans="1:4" x14ac:dyDescent="0.2">
      <c r="A123" s="1">
        <v>44530</v>
      </c>
      <c r="B123" s="2">
        <v>5</v>
      </c>
      <c r="C123" s="2">
        <v>35.043384619999998</v>
      </c>
      <c r="D123" s="2">
        <v>175.22</v>
      </c>
    </row>
    <row r="124" spans="1:4" x14ac:dyDescent="0.2">
      <c r="A124" s="1">
        <v>44531</v>
      </c>
      <c r="B124" s="2">
        <v>4</v>
      </c>
      <c r="C124" s="2">
        <v>23.383928569999998</v>
      </c>
      <c r="D124" s="2">
        <v>93.54</v>
      </c>
    </row>
    <row r="125" spans="1:4" x14ac:dyDescent="0.2">
      <c r="A125" s="1">
        <v>44532</v>
      </c>
      <c r="B125" s="2">
        <v>4</v>
      </c>
      <c r="C125" s="2">
        <v>23.383928569999998</v>
      </c>
      <c r="D125" s="2">
        <v>93.54</v>
      </c>
    </row>
    <row r="126" spans="1:4" x14ac:dyDescent="0.2">
      <c r="A126" s="1">
        <v>44533</v>
      </c>
      <c r="B126" s="2">
        <v>5</v>
      </c>
      <c r="C126" s="2">
        <v>23.383928569999998</v>
      </c>
      <c r="D126" s="2">
        <v>116.92</v>
      </c>
    </row>
    <row r="127" spans="1:4" x14ac:dyDescent="0.2">
      <c r="A127" s="1">
        <v>44536</v>
      </c>
      <c r="B127" s="2">
        <v>6</v>
      </c>
      <c r="C127" s="2">
        <v>23.383928569999998</v>
      </c>
      <c r="D127" s="2">
        <v>140.30000000000001</v>
      </c>
    </row>
    <row r="128" spans="1:4" x14ac:dyDescent="0.2">
      <c r="A128" s="1">
        <v>44537</v>
      </c>
      <c r="B128" s="2">
        <v>6</v>
      </c>
      <c r="C128" s="2">
        <v>23.383928569999998</v>
      </c>
      <c r="D128" s="2">
        <v>140.30000000000001</v>
      </c>
    </row>
    <row r="129" spans="1:4" x14ac:dyDescent="0.2">
      <c r="A129" s="1">
        <v>44538</v>
      </c>
      <c r="B129" s="2">
        <v>5</v>
      </c>
      <c r="C129" s="2">
        <v>23.383928569999998</v>
      </c>
      <c r="D129" s="2">
        <v>116.92</v>
      </c>
    </row>
    <row r="130" spans="1:4" x14ac:dyDescent="0.2">
      <c r="A130" s="1">
        <v>44539</v>
      </c>
      <c r="B130" s="2">
        <v>3</v>
      </c>
      <c r="C130" s="2">
        <v>23.383928569999998</v>
      </c>
      <c r="D130" s="2">
        <v>70.150000000000006</v>
      </c>
    </row>
    <row r="131" spans="1:4" x14ac:dyDescent="0.2">
      <c r="A131" s="1">
        <v>44540</v>
      </c>
      <c r="B131" s="2">
        <v>4</v>
      </c>
      <c r="C131" s="2">
        <v>23.383928569999998</v>
      </c>
      <c r="D131" s="2">
        <v>93.54</v>
      </c>
    </row>
    <row r="132" spans="1:4" x14ac:dyDescent="0.2">
      <c r="A132" s="1">
        <v>44543</v>
      </c>
      <c r="B132" s="2">
        <v>5</v>
      </c>
      <c r="C132" s="2">
        <v>23.383928569999998</v>
      </c>
      <c r="D132" s="2">
        <v>116.92</v>
      </c>
    </row>
    <row r="133" spans="1:4" x14ac:dyDescent="0.2">
      <c r="A133" s="1">
        <v>44544</v>
      </c>
      <c r="B133" s="2">
        <v>6</v>
      </c>
      <c r="C133" s="2">
        <v>23.383928569999998</v>
      </c>
      <c r="D133" s="2">
        <v>140.30000000000001</v>
      </c>
    </row>
    <row r="134" spans="1:4" x14ac:dyDescent="0.2">
      <c r="A134" s="1">
        <v>44545</v>
      </c>
      <c r="B134" s="2">
        <v>6</v>
      </c>
      <c r="C134" s="2">
        <v>23.383928569999998</v>
      </c>
      <c r="D134" s="2">
        <v>140.30000000000001</v>
      </c>
    </row>
    <row r="135" spans="1:4" x14ac:dyDescent="0.2">
      <c r="A135" s="1">
        <v>44546</v>
      </c>
      <c r="B135" s="2">
        <v>5</v>
      </c>
      <c r="C135" s="2">
        <v>23.383928569999998</v>
      </c>
      <c r="D135" s="2">
        <v>116.92</v>
      </c>
    </row>
    <row r="136" spans="1:4" x14ac:dyDescent="0.2">
      <c r="A136" s="1">
        <v>44547</v>
      </c>
      <c r="B136" s="2">
        <v>3</v>
      </c>
      <c r="C136" s="2">
        <v>23.383928569999998</v>
      </c>
      <c r="D136" s="2">
        <v>70.150000000000006</v>
      </c>
    </row>
    <row r="137" spans="1:4" x14ac:dyDescent="0.2">
      <c r="A137" s="1">
        <v>44550</v>
      </c>
      <c r="B137" s="2">
        <v>4</v>
      </c>
      <c r="C137" s="2">
        <v>23.383928569999998</v>
      </c>
      <c r="D137" s="2">
        <v>93.54</v>
      </c>
    </row>
    <row r="138" spans="1:4" x14ac:dyDescent="0.2">
      <c r="A138" s="1">
        <v>44551</v>
      </c>
      <c r="B138" s="2">
        <v>5</v>
      </c>
      <c r="C138" s="2">
        <v>23.383928569999998</v>
      </c>
      <c r="D138" s="2">
        <v>116.92</v>
      </c>
    </row>
    <row r="139" spans="1:4" x14ac:dyDescent="0.2">
      <c r="A139" s="1">
        <v>44552</v>
      </c>
      <c r="B139" s="2">
        <v>6</v>
      </c>
      <c r="C139" s="2">
        <v>23.383928569999998</v>
      </c>
      <c r="D139" s="2">
        <v>140.30000000000001</v>
      </c>
    </row>
    <row r="140" spans="1:4" x14ac:dyDescent="0.2">
      <c r="A140" s="1">
        <v>44553</v>
      </c>
      <c r="B140" s="2">
        <v>6</v>
      </c>
      <c r="C140" s="2">
        <v>23.383928569999998</v>
      </c>
      <c r="D140" s="2">
        <v>140.30000000000001</v>
      </c>
    </row>
    <row r="141" spans="1:4" x14ac:dyDescent="0.2">
      <c r="A141" s="1">
        <v>44554</v>
      </c>
      <c r="B141" s="2">
        <v>5</v>
      </c>
      <c r="C141" s="2">
        <v>23.383928569999998</v>
      </c>
      <c r="D141" s="2">
        <v>116.92</v>
      </c>
    </row>
    <row r="142" spans="1:4" x14ac:dyDescent="0.2">
      <c r="A142" s="1">
        <v>44557</v>
      </c>
      <c r="B142" s="2">
        <v>3</v>
      </c>
      <c r="C142" s="2">
        <v>23.383928569999998</v>
      </c>
      <c r="D142" s="2">
        <v>70.150000000000006</v>
      </c>
    </row>
    <row r="143" spans="1:4" x14ac:dyDescent="0.2">
      <c r="A143" s="1">
        <v>44558</v>
      </c>
      <c r="B143" s="2">
        <v>4</v>
      </c>
      <c r="C143" s="2">
        <v>23.383928569999998</v>
      </c>
      <c r="D143" s="2">
        <v>93.54</v>
      </c>
    </row>
    <row r="144" spans="1:4" x14ac:dyDescent="0.2">
      <c r="A144" s="1">
        <v>44559</v>
      </c>
      <c r="B144" s="2">
        <v>5</v>
      </c>
      <c r="C144" s="2">
        <v>23.383928569999998</v>
      </c>
      <c r="D144" s="2">
        <v>116.92</v>
      </c>
    </row>
    <row r="145" spans="1:4" x14ac:dyDescent="0.2">
      <c r="A145" s="1">
        <v>44560</v>
      </c>
      <c r="B145" s="2">
        <v>6</v>
      </c>
      <c r="C145" s="2">
        <v>23.383928569999998</v>
      </c>
      <c r="D145" s="2">
        <v>140.30000000000001</v>
      </c>
    </row>
    <row r="146" spans="1:4" x14ac:dyDescent="0.2">
      <c r="A146" s="1">
        <v>44561</v>
      </c>
      <c r="B146" s="2">
        <v>6</v>
      </c>
      <c r="C146" s="2">
        <v>23.383928569999998</v>
      </c>
      <c r="D146" s="2">
        <v>140.30000000000001</v>
      </c>
    </row>
    <row r="148" spans="1:4" x14ac:dyDescent="0.2">
      <c r="A148" s="1" t="s">
        <v>4</v>
      </c>
      <c r="B148" s="2">
        <f>SUM(B2:B146)</f>
        <v>645</v>
      </c>
      <c r="D148" s="2">
        <f>SUM(D2:D146)</f>
        <v>16985.159999999996</v>
      </c>
    </row>
    <row r="150" spans="1:4" x14ac:dyDescent="0.2">
      <c r="A150" s="1" t="s">
        <v>65</v>
      </c>
      <c r="B150" s="2" t="s">
        <v>66</v>
      </c>
      <c r="D150" s="2">
        <f>D148*0.23</f>
        <v>3906.5867999999991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EDC8-7AE1-4E0B-A6A9-637327205ECB}">
  <dimension ref="A1:D14"/>
  <sheetViews>
    <sheetView workbookViewId="0">
      <selection activeCell="F36" sqref="F36"/>
    </sheetView>
  </sheetViews>
  <sheetFormatPr defaultRowHeight="12.75" x14ac:dyDescent="0.2"/>
  <cols>
    <col min="1" max="1" width="9.7109375" bestFit="1" customWidth="1"/>
    <col min="2" max="2" width="11.7109375" bestFit="1" customWidth="1"/>
    <col min="3" max="3" width="18.28515625" customWidth="1"/>
  </cols>
  <sheetData>
    <row r="1" spans="1:4" x14ac:dyDescent="0.2">
      <c r="A1" s="10">
        <v>2021</v>
      </c>
      <c r="B1" s="10" t="s">
        <v>64</v>
      </c>
      <c r="C1" s="10" t="s">
        <v>30</v>
      </c>
      <c r="D1" s="9"/>
    </row>
    <row r="2" spans="1:4" x14ac:dyDescent="0.2">
      <c r="A2" s="11" t="s">
        <v>31</v>
      </c>
    </row>
    <row r="3" spans="1:4" x14ac:dyDescent="0.2">
      <c r="A3" s="11" t="s">
        <v>32</v>
      </c>
      <c r="B3" s="2">
        <v>743.81</v>
      </c>
      <c r="C3">
        <f>756.03+2315.83+820.55</f>
        <v>3892.41</v>
      </c>
    </row>
    <row r="4" spans="1:4" x14ac:dyDescent="0.2">
      <c r="A4" s="11" t="s">
        <v>33</v>
      </c>
      <c r="B4" s="2">
        <v>743.75</v>
      </c>
      <c r="C4">
        <v>2315.83</v>
      </c>
    </row>
    <row r="5" spans="1:4" x14ac:dyDescent="0.2">
      <c r="A5" s="11" t="s">
        <v>34</v>
      </c>
      <c r="B5">
        <v>745.73</v>
      </c>
      <c r="C5">
        <v>2315.83</v>
      </c>
    </row>
    <row r="6" spans="1:4" x14ac:dyDescent="0.2">
      <c r="A6" s="11" t="s">
        <v>35</v>
      </c>
      <c r="B6">
        <v>745.73</v>
      </c>
      <c r="C6">
        <v>2315.83</v>
      </c>
    </row>
    <row r="7" spans="1:4" x14ac:dyDescent="0.2">
      <c r="A7" s="11" t="s">
        <v>36</v>
      </c>
      <c r="B7">
        <v>745.73</v>
      </c>
      <c r="C7">
        <v>2315.83</v>
      </c>
    </row>
    <row r="8" spans="1:4" x14ac:dyDescent="0.2">
      <c r="A8" s="11" t="s">
        <v>37</v>
      </c>
      <c r="B8" s="2">
        <v>743.75</v>
      </c>
      <c r="C8">
        <v>2315.83</v>
      </c>
    </row>
    <row r="9" spans="1:4" x14ac:dyDescent="0.2">
      <c r="A9" s="11" t="s">
        <v>38</v>
      </c>
      <c r="B9">
        <v>745.73</v>
      </c>
      <c r="C9">
        <v>2315.83</v>
      </c>
    </row>
    <row r="10" spans="1:4" x14ac:dyDescent="0.2">
      <c r="A10" s="11" t="s">
        <v>39</v>
      </c>
      <c r="B10">
        <v>745.73</v>
      </c>
      <c r="C10">
        <v>2315.83</v>
      </c>
    </row>
    <row r="11" spans="1:4" x14ac:dyDescent="0.2">
      <c r="A11" s="11" t="s">
        <v>40</v>
      </c>
      <c r="B11" s="2">
        <v>743.75</v>
      </c>
    </row>
    <row r="12" spans="1:4" x14ac:dyDescent="0.2">
      <c r="A12" s="11" t="s">
        <v>41</v>
      </c>
      <c r="B12" s="2">
        <v>743.75</v>
      </c>
    </row>
    <row r="13" spans="1:4" x14ac:dyDescent="0.2">
      <c r="A13" s="11" t="s">
        <v>42</v>
      </c>
      <c r="B13" s="2">
        <v>743.75</v>
      </c>
    </row>
    <row r="14" spans="1:4" x14ac:dyDescent="0.2">
      <c r="A14" s="7" t="s">
        <v>4</v>
      </c>
      <c r="B14" s="8">
        <f>SUM(B3:B13)</f>
        <v>8191.2099999999991</v>
      </c>
      <c r="C14" s="7">
        <f>SUM(C3:C13)</f>
        <v>20103.22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Maandsamenvatting</vt:lpstr>
      <vt:lpstr>Bron transacties</vt:lpstr>
      <vt:lpstr>Rittenplanning</vt:lpstr>
      <vt:lpstr>Prive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2026-04-15T16:05:47Z</dcterms:created>
  <dcterms:modified xsi:type="dcterms:W3CDTF">2026-04-22T20:44:20Z</dcterms:modified>
</cp:coreProperties>
</file>