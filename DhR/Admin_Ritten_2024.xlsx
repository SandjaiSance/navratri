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E76E6F1A-435F-43B5-B3A6-E622ECCFF54A}" xr6:coauthVersionLast="47" xr6:coauthVersionMax="47" xr10:uidLastSave="{00000000-0000-0000-0000-000000000000}"/>
  <bookViews>
    <workbookView xWindow="1170" yWindow="1170" windowWidth="38700" windowHeight="15435" activeTab="3" xr2:uid="{F55F0B48-93DE-45C3-8FC1-91B1EEA946A1}"/>
  </bookViews>
  <sheets>
    <sheet name="Maandsamenvatting" sheetId="3" r:id="rId1"/>
    <sheet name="Bron transacties" sheetId="2" r:id="rId2"/>
    <sheet name="Rittenplanning" sheetId="1" r:id="rId3"/>
    <sheet name="Priv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3" l="1"/>
  <c r="C14" i="3"/>
  <c r="C13" i="3"/>
  <c r="C12" i="3"/>
  <c r="C11" i="3"/>
  <c r="C10" i="3"/>
  <c r="C9" i="3"/>
  <c r="C8" i="3"/>
  <c r="C7" i="3"/>
  <c r="C6" i="3"/>
  <c r="C5" i="3"/>
  <c r="C4" i="3"/>
  <c r="C3" i="3"/>
  <c r="J24" i="3"/>
  <c r="J22" i="3"/>
  <c r="J21" i="3"/>
  <c r="J11" i="3"/>
  <c r="J6" i="3"/>
  <c r="J7" i="3" s="1"/>
  <c r="J8" i="3" s="1"/>
  <c r="J25" i="3" l="1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G16" i="3" s="1"/>
  <c r="F3" i="3"/>
  <c r="G2" i="3"/>
  <c r="F2" i="3"/>
  <c r="B14" i="4"/>
  <c r="D16" i="3"/>
  <c r="C16" i="3"/>
  <c r="B20" i="3" s="1"/>
  <c r="B25" i="3" s="1"/>
  <c r="B16" i="3"/>
  <c r="E99" i="2"/>
  <c r="C99" i="2"/>
  <c r="B99" i="2"/>
  <c r="D301" i="1"/>
  <c r="D303" i="1" s="1"/>
  <c r="B301" i="1"/>
  <c r="C26" i="3" l="1"/>
  <c r="J19" i="3"/>
  <c r="J27" i="3" s="1"/>
  <c r="J13" i="3" s="1"/>
  <c r="J15" i="3" s="1"/>
  <c r="J16" i="3" s="1"/>
  <c r="F16" i="3"/>
</calcChain>
</file>

<file path=xl/sharedStrings.xml><?xml version="1.0" encoding="utf-8"?>
<sst xmlns="http://schemas.openxmlformats.org/spreadsheetml/2006/main" count="75" uniqueCount="66">
  <si>
    <t>Plandatum</t>
  </si>
  <si>
    <t>Uren gepland</t>
  </si>
  <si>
    <t>Km per uur</t>
  </si>
  <si>
    <t>Kilometers</t>
  </si>
  <si>
    <t>Totaal</t>
  </si>
  <si>
    <t>Km-vergoeding</t>
  </si>
  <si>
    <t>Jaar 2024</t>
  </si>
  <si>
    <t>Transactiedatum</t>
  </si>
  <si>
    <t>Inkomsten rijschool</t>
  </si>
  <si>
    <t>Uren afgerond</t>
  </si>
  <si>
    <t>Weken terug</t>
  </si>
  <si>
    <t>Maand</t>
  </si>
  <si>
    <t>Uurtarief</t>
  </si>
  <si>
    <t>januari 2024</t>
  </si>
  <si>
    <t>februari 2024</t>
  </si>
  <si>
    <t>maart 2024</t>
  </si>
  <si>
    <t>april 2024</t>
  </si>
  <si>
    <t>mei 2024</t>
  </si>
  <si>
    <t>juni 2024</t>
  </si>
  <si>
    <t>juli 2024</t>
  </si>
  <si>
    <t>augustus 2024</t>
  </si>
  <si>
    <t>september 2024</t>
  </si>
  <si>
    <t>oktober 2024</t>
  </si>
  <si>
    <t>november 2024</t>
  </si>
  <si>
    <t>december 2024</t>
  </si>
  <si>
    <t>Verlies- en winstrekening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</si>
  <si>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</si>
  <si>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</si>
  <si>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</si>
  <si>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</si>
  <si>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</si>
  <si>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</si>
  <si>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</si>
  <si>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</si>
  <si>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</si>
  <si>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</si>
  <si>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</si>
  <si>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</si>
  <si>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</si>
  <si>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</si>
  <si>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</si>
  <si>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</si>
  <si>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</si>
  <si>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</si>
  <si>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2024</t>
  </si>
  <si>
    <t>zakelijk</t>
  </si>
  <si>
    <t>Prive</t>
  </si>
  <si>
    <t>ACTIVA</t>
  </si>
  <si>
    <t>VASTE ACTIVA</t>
  </si>
  <si>
    <t>Inventaris (incl computer ed)</t>
  </si>
  <si>
    <t>afschrijvingen</t>
  </si>
  <si>
    <t>boekwaarde</t>
  </si>
  <si>
    <t>VLOTTENDE ACTIVA</t>
  </si>
  <si>
    <t>LIQUIDE MIDDELEN</t>
  </si>
  <si>
    <t>Kas/bank</t>
  </si>
  <si>
    <t>priveonttrekkingen</t>
  </si>
  <si>
    <t>TOTAAL</t>
  </si>
  <si>
    <t>PASSIVA</t>
  </si>
  <si>
    <t>Eigen vermogen</t>
  </si>
  <si>
    <t>Langlopende schulden</t>
  </si>
  <si>
    <t>Kortlopende schulden</t>
  </si>
  <si>
    <t>Te Betalen Belastingen</t>
  </si>
  <si>
    <t>cumm</t>
  </si>
  <si>
    <t>BALANS 2024</t>
  </si>
  <si>
    <t>ELQ hyp rente</t>
  </si>
  <si>
    <t>Overige vorderingen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</si>
</sst>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/>
    <xf numFmtId="17" fontId="0" fillId="0" borderId="0" xfId="0" applyNumberFormat="1"/>
    <xf numFmtId="0" fontId="2" fillId="2" borderId="2" xfId="0" applyFont="1" applyFill="1" applyBorder="1"/>
    <xf numFmtId="2" fontId="2" fillId="2" borderId="2" xfId="0" applyNumberFormat="1" applyFont="1" applyFill="1" applyBorder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/>
    <xf numFmtId="2" fontId="1" fillId="0" borderId="0" xfId="0" applyNumberFormat="1" applyFont="1" applyAlignment="1"/>
    <xf numFmtId="0" fontId="1" fillId="0" borderId="0" xfId="0" applyFont="1" applyAlignment="1"/>
    <xf numFmtId="2" fontId="1" fillId="4" borderId="0" xfId="0" applyNumberFormat="1" applyFont="1" applyFill="1" applyAlignment="1"/>
    <xf numFmtId="0" fontId="0" fillId="5" borderId="0" xfId="0" applyFill="1"/>
    <xf numFmtId="15" fontId="0" fillId="5" borderId="0" xfId="0" applyNumberFormat="1" applyFill="1"/>
    <xf numFmtId="0" fontId="1" fillId="6" borderId="0" xfId="0" applyFont="1" applyFill="1"/>
    <xf numFmtId="0" fontId="1" fillId="6" borderId="2" xfId="0" applyFont="1" applyFill="1" applyBorder="1"/>
    <xf numFmtId="2" fontId="1" fillId="6" borderId="2" xfId="0" applyNumberFormat="1" applyFont="1" applyFill="1" applyBorder="1"/>
    <xf numFmtId="0" fontId="1" fillId="7" borderId="0" xfId="0" applyFont="1" applyFill="1"/>
    <xf numFmtId="2" fontId="0" fillId="7" borderId="0" xfId="0" applyNumberFormat="1" applyFill="1"/>
    <xf numFmtId="0" fontId="1" fillId="7" borderId="2" xfId="0" applyFont="1" applyFill="1" applyBorder="1"/>
    <xf numFmtId="2" fontId="1" fillId="7" borderId="2" xfId="0" applyNumberFormat="1" applyFont="1" applyFill="1" applyBorder="1"/>
    <xf numFmtId="2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7423-1641-46C9-AF34-227E2D92DCBC}">
  <dimension ref="A1:K27"/>
  <sheetViews>
    <sheetView workbookViewId="0">
      <selection activeCell="J14" sqref="J14"/>
    </sheetView>
  </sheetViews>
  <sheetFormatPr defaultRowHeight="12.75" x14ac:dyDescent="0.2"/>
  <cols>
    <col min="1" max="1" width="21" style="5" bestFit="1" customWidth="1"/>
    <col min="2" max="2" width="8.5703125" style="2" bestFit="1" customWidth="1"/>
    <col min="3" max="3" width="18.85546875" style="2" bestFit="1" customWidth="1"/>
    <col min="4" max="4" width="10.7109375" style="2" bestFit="1" customWidth="1"/>
    <col min="5" max="5" width="8.85546875" style="2" bestFit="1" customWidth="1"/>
    <col min="6" max="6" width="9.7109375" customWidth="1"/>
    <col min="7" max="7" width="8.42578125" customWidth="1"/>
    <col min="9" max="9" width="24.5703125" bestFit="1" customWidth="1"/>
    <col min="10" max="11" width="9.42578125" bestFit="1" customWidth="1"/>
  </cols>
  <sheetData>
    <row r="1" spans="1:11" x14ac:dyDescent="0.2">
      <c r="A1" s="11" t="s">
        <v>44</v>
      </c>
      <c r="B1" s="25" t="s">
        <v>45</v>
      </c>
      <c r="C1" s="25"/>
      <c r="D1" s="25"/>
      <c r="E1" s="25"/>
      <c r="F1" s="26" t="s">
        <v>46</v>
      </c>
      <c r="G1" s="26"/>
      <c r="I1" s="16" t="s">
        <v>63</v>
      </c>
      <c r="J1" s="17">
        <v>45657</v>
      </c>
      <c r="K1" s="17">
        <v>45291</v>
      </c>
    </row>
    <row r="2" spans="1:11" x14ac:dyDescent="0.2">
      <c r="A2" s="12" t="s">
        <v>11</v>
      </c>
      <c r="B2" s="13" t="s">
        <v>1</v>
      </c>
      <c r="C2" s="13" t="s">
        <v>8</v>
      </c>
      <c r="D2" s="13" t="s">
        <v>3</v>
      </c>
      <c r="E2" s="13" t="s">
        <v>12</v>
      </c>
      <c r="F2" s="14" t="str">
        <f>IF(Prive!B1="","",Prive!B1)</f>
        <v>ELQ hyp rente</v>
      </c>
      <c r="G2" s="14" t="str">
        <f>IF(Prive!C1="","",Prive!C1)</f>
        <v/>
      </c>
    </row>
    <row r="3" spans="1:11" x14ac:dyDescent="0.2">
      <c r="A3" s="5" t="s">
        <v>13</v>
      </c>
      <c r="B3" s="2">
        <v>156</v>
      </c>
      <c r="C3" s="2">
        <f t="shared" ref="C3:C14" si="0">B3*E3</f>
        <v>5850</v>
      </c>
      <c r="D3" s="2">
        <v>4271</v>
      </c>
      <c r="E3" s="2">
        <v>37.5</v>
      </c>
      <c r="F3" s="2">
        <f>IF(Prive!B2="","",Prive!B2)</f>
        <v>1616.42</v>
      </c>
      <c r="G3" s="2" t="str">
        <f>IF(Prive!C2="","",Prive!C2)</f>
        <v/>
      </c>
      <c r="I3" s="18" t="s">
        <v>47</v>
      </c>
      <c r="J3" s="18"/>
      <c r="K3" s="18"/>
    </row>
    <row r="4" spans="1:11" x14ac:dyDescent="0.2">
      <c r="A4" s="5" t="s">
        <v>14</v>
      </c>
      <c r="B4" s="2">
        <v>150</v>
      </c>
      <c r="C4" s="2">
        <f t="shared" si="0"/>
        <v>5625</v>
      </c>
      <c r="D4" s="2">
        <v>4000</v>
      </c>
      <c r="E4" s="2">
        <v>37.5</v>
      </c>
      <c r="F4" s="2">
        <f>IF(Prive!B3="","",Prive!B3)</f>
        <v>1620.38</v>
      </c>
      <c r="G4" s="2" t="str">
        <f>IF(Prive!C3="","",Prive!C3)</f>
        <v/>
      </c>
      <c r="I4" t="s">
        <v>48</v>
      </c>
    </row>
    <row r="5" spans="1:11" x14ac:dyDescent="0.2">
      <c r="A5" s="5" t="s">
        <v>15</v>
      </c>
      <c r="B5" s="2">
        <v>156</v>
      </c>
      <c r="C5" s="2">
        <f t="shared" si="0"/>
        <v>5850</v>
      </c>
      <c r="D5" s="2">
        <v>4221</v>
      </c>
      <c r="E5" s="2">
        <v>37.5</v>
      </c>
      <c r="F5" s="2">
        <f>IF(Prive!B4="","",Prive!B4)</f>
        <v>1620.38</v>
      </c>
      <c r="G5" s="2" t="str">
        <f>IF(Prive!C4="","",Prive!C4)</f>
        <v/>
      </c>
      <c r="I5" t="s">
        <v>49</v>
      </c>
      <c r="J5" s="2">
        <v>1300</v>
      </c>
      <c r="K5" s="2">
        <v>200</v>
      </c>
    </row>
    <row r="6" spans="1:11" x14ac:dyDescent="0.2">
      <c r="A6" s="5" t="s">
        <v>16</v>
      </c>
      <c r="B6" s="2">
        <v>144</v>
      </c>
      <c r="C6" s="2">
        <f t="shared" si="0"/>
        <v>5400</v>
      </c>
      <c r="D6" s="2">
        <v>3891</v>
      </c>
      <c r="E6" s="2">
        <v>37.5</v>
      </c>
      <c r="F6" s="2">
        <f>IF(Prive!B5="","",Prive!B5)</f>
        <v>1620.38</v>
      </c>
      <c r="G6" s="2" t="str">
        <f>IF(Prive!C5="","",Prive!C5)</f>
        <v/>
      </c>
      <c r="I6" t="s">
        <v>50</v>
      </c>
      <c r="J6" s="2">
        <f>K6</f>
        <v>150</v>
      </c>
      <c r="K6" s="2">
        <v>150</v>
      </c>
    </row>
    <row r="7" spans="1:11" x14ac:dyDescent="0.2">
      <c r="A7" s="5" t="s">
        <v>17</v>
      </c>
      <c r="B7" s="2">
        <v>123</v>
      </c>
      <c r="C7" s="2">
        <f t="shared" si="0"/>
        <v>4612.5</v>
      </c>
      <c r="D7" s="2">
        <v>3345</v>
      </c>
      <c r="E7" s="2">
        <v>37.5</v>
      </c>
      <c r="F7" s="2">
        <f>IF(Prive!B6="","",Prive!B6)</f>
        <v>1618.4</v>
      </c>
      <c r="G7" s="2" t="str">
        <f>IF(Prive!C6="","",Prive!C6)</f>
        <v/>
      </c>
      <c r="I7" t="s">
        <v>51</v>
      </c>
      <c r="J7" s="2">
        <f>J5-J6</f>
        <v>1150</v>
      </c>
      <c r="K7" s="2">
        <v>50</v>
      </c>
    </row>
    <row r="8" spans="1:11" x14ac:dyDescent="0.2">
      <c r="A8" s="5" t="s">
        <v>18</v>
      </c>
      <c r="B8" s="2">
        <v>112</v>
      </c>
      <c r="C8" s="2">
        <f t="shared" si="0"/>
        <v>4200</v>
      </c>
      <c r="D8" s="2">
        <v>3022</v>
      </c>
      <c r="E8" s="2">
        <v>37.5</v>
      </c>
      <c r="F8" s="2">
        <f>IF(Prive!B7="","",Prive!B7)</f>
        <v>1612.4</v>
      </c>
      <c r="G8" s="2" t="str">
        <f>IF(Prive!C7="","",Prive!C7)</f>
        <v/>
      </c>
      <c r="J8" s="2">
        <f>J7</f>
        <v>1150</v>
      </c>
      <c r="K8" s="2">
        <v>50</v>
      </c>
    </row>
    <row r="9" spans="1:11" x14ac:dyDescent="0.2">
      <c r="A9" s="5" t="s">
        <v>19</v>
      </c>
      <c r="B9" s="2">
        <v>124</v>
      </c>
      <c r="C9" s="2">
        <f t="shared" si="0"/>
        <v>4650</v>
      </c>
      <c r="D9" s="2">
        <v>3340</v>
      </c>
      <c r="E9" s="2">
        <v>37.5</v>
      </c>
      <c r="F9" s="2">
        <f>IF(Prive!B8="","",Prive!B8)</f>
        <v>166.5</v>
      </c>
      <c r="G9" s="2" t="str">
        <f>IF(Prive!C8="","",Prive!C8)</f>
        <v/>
      </c>
      <c r="I9" t="s">
        <v>52</v>
      </c>
      <c r="J9" s="2"/>
      <c r="K9" s="2"/>
    </row>
    <row r="10" spans="1:11" x14ac:dyDescent="0.2">
      <c r="A10" s="5" t="s">
        <v>20</v>
      </c>
      <c r="B10" s="2">
        <v>157</v>
      </c>
      <c r="C10" s="2">
        <f t="shared" si="0"/>
        <v>5887.5</v>
      </c>
      <c r="D10" s="2">
        <v>4217</v>
      </c>
      <c r="E10" s="2">
        <v>37.5</v>
      </c>
      <c r="F10" s="2">
        <f>IF(Prive!B9="","",Prive!B9)</f>
        <v>1568.82</v>
      </c>
      <c r="G10" s="2" t="str">
        <f>IF(Prive!C9="","",Prive!C9)</f>
        <v/>
      </c>
      <c r="I10" t="s">
        <v>65</v>
      </c>
      <c r="J10" s="2">
        <v>900</v>
      </c>
      <c r="K10" s="2">
        <v>862.5</v>
      </c>
    </row>
    <row r="11" spans="1:11" x14ac:dyDescent="0.2">
      <c r="A11" s="5" t="s">
        <v>21</v>
      </c>
      <c r="B11" s="2">
        <v>127</v>
      </c>
      <c r="C11" s="2">
        <f t="shared" si="0"/>
        <v>4762.5</v>
      </c>
      <c r="D11" s="2">
        <v>3393</v>
      </c>
      <c r="E11" s="2">
        <v>37.5</v>
      </c>
      <c r="F11" s="2">
        <f>IF(Prive!B10="","",Prive!B10)</f>
        <v>1568.82</v>
      </c>
      <c r="G11" s="2" t="str">
        <f>IF(Prive!C10="","",Prive!C10)</f>
        <v/>
      </c>
      <c r="J11" s="2">
        <f>J10</f>
        <v>900</v>
      </c>
      <c r="K11" s="2">
        <f>K10</f>
        <v>862.5</v>
      </c>
    </row>
    <row r="12" spans="1:11" x14ac:dyDescent="0.2">
      <c r="A12" s="5" t="s">
        <v>22</v>
      </c>
      <c r="B12" s="2">
        <v>99</v>
      </c>
      <c r="C12" s="2">
        <f t="shared" si="0"/>
        <v>3712.5</v>
      </c>
      <c r="D12" s="2">
        <v>2630</v>
      </c>
      <c r="E12" s="2">
        <v>37.5</v>
      </c>
      <c r="F12" s="2">
        <f>IF(Prive!B11="","",Prive!B11)</f>
        <v>1519.23</v>
      </c>
      <c r="G12" s="2" t="str">
        <f>IF(Prive!C11="","",Prive!C11)</f>
        <v/>
      </c>
      <c r="I12" t="s">
        <v>53</v>
      </c>
      <c r="J12" s="2"/>
      <c r="K12" s="2"/>
    </row>
    <row r="13" spans="1:11" x14ac:dyDescent="0.2">
      <c r="A13" s="5" t="s">
        <v>23</v>
      </c>
      <c r="B13" s="2">
        <v>69</v>
      </c>
      <c r="C13" s="2">
        <f t="shared" si="0"/>
        <v>2587.5</v>
      </c>
      <c r="D13" s="2">
        <v>1846</v>
      </c>
      <c r="E13" s="2">
        <v>37.5</v>
      </c>
      <c r="F13" s="2">
        <f>IF(Prive!B12="","",Prive!B12)</f>
        <v>1697.48</v>
      </c>
      <c r="G13" s="2" t="str">
        <f>IF(Prive!C12="","",Prive!C12)</f>
        <v/>
      </c>
      <c r="I13" t="s">
        <v>54</v>
      </c>
      <c r="J13" s="2">
        <f>J27-J8-J11-J14</f>
        <v>69167.604800000001</v>
      </c>
      <c r="K13" s="2">
        <v>50627.864799999996</v>
      </c>
    </row>
    <row r="14" spans="1:11" x14ac:dyDescent="0.2">
      <c r="A14" s="5" t="s">
        <v>24</v>
      </c>
      <c r="B14" s="2">
        <v>27</v>
      </c>
      <c r="C14" s="2">
        <f t="shared" si="0"/>
        <v>1012.5</v>
      </c>
      <c r="D14" s="2">
        <v>725</v>
      </c>
      <c r="E14" s="2">
        <v>37.5</v>
      </c>
      <c r="F14" s="2">
        <f>IF(Prive!B13="","",Prive!B13)</f>
        <v>1469.65</v>
      </c>
      <c r="G14" s="2" t="str">
        <f>IF(Prive!C13="","",Prive!C13)</f>
        <v/>
      </c>
      <c r="I14" t="s">
        <v>55</v>
      </c>
      <c r="J14" s="2">
        <v>-37200</v>
      </c>
      <c r="K14" s="2">
        <v>-31600</v>
      </c>
    </row>
    <row r="15" spans="1:11" x14ac:dyDescent="0.2">
      <c r="E15" s="2">
        <v>37.5</v>
      </c>
      <c r="F15" s="2"/>
      <c r="G15" s="2"/>
      <c r="J15" s="2">
        <f>SUM(J13:J14)</f>
        <v>31967.604800000001</v>
      </c>
      <c r="K15" s="2">
        <v>19027.864799999996</v>
      </c>
    </row>
    <row r="16" spans="1:11" x14ac:dyDescent="0.2">
      <c r="A16" s="5" t="s">
        <v>4</v>
      </c>
      <c r="B16" s="2">
        <f>SUM(B3:B14)</f>
        <v>1444</v>
      </c>
      <c r="C16" s="2">
        <f>SUM(C3:C14)</f>
        <v>54150</v>
      </c>
      <c r="D16" s="2">
        <f>SUM(D3:D14)</f>
        <v>38901</v>
      </c>
      <c r="E16" s="2">
        <v>37.5</v>
      </c>
      <c r="F16" s="15">
        <f>IF(COUNT(F3:F14)=0,"",SUM(F3:F14))</f>
        <v>17698.86</v>
      </c>
      <c r="G16" s="15" t="str">
        <f>IF(COUNT(G3:G14)=0,"",SUM(G3:G14))</f>
        <v/>
      </c>
      <c r="I16" s="19" t="s">
        <v>56</v>
      </c>
      <c r="J16" s="20">
        <f>SUM(J8,J11,J15)</f>
        <v>34017.604800000001</v>
      </c>
      <c r="K16" s="20">
        <v>19894.864799999996</v>
      </c>
    </row>
    <row r="17" spans="1:11" x14ac:dyDescent="0.2">
      <c r="J17" s="2"/>
      <c r="K17" s="2"/>
    </row>
    <row r="18" spans="1:11" x14ac:dyDescent="0.2">
      <c r="I18" s="21" t="s">
        <v>57</v>
      </c>
      <c r="J18" s="22"/>
      <c r="K18" s="22"/>
    </row>
    <row r="19" spans="1:11" x14ac:dyDescent="0.2">
      <c r="A19" s="6" t="s">
        <v>25</v>
      </c>
      <c r="I19" t="s">
        <v>58</v>
      </c>
      <c r="J19" s="2">
        <f>K19+$B25+J14</f>
        <v>34017.604800000001</v>
      </c>
      <c r="K19" s="2">
        <v>31176.144799999995</v>
      </c>
    </row>
    <row r="20" spans="1:11" x14ac:dyDescent="0.2">
      <c r="A20" s="2" t="s">
        <v>26</v>
      </c>
      <c r="B20" s="2">
        <f>C16</f>
        <v>54150</v>
      </c>
      <c r="J20" s="2"/>
      <c r="K20" s="2"/>
    </row>
    <row r="21" spans="1:11" x14ac:dyDescent="0.2">
      <c r="A21" s="2" t="s">
        <v>27</v>
      </c>
      <c r="B21" s="2">
        <v>4839.58</v>
      </c>
      <c r="I21" t="s">
        <v>59</v>
      </c>
      <c r="J21" s="2">
        <f>K21</f>
        <v>0</v>
      </c>
      <c r="K21" s="2">
        <v>0</v>
      </c>
    </row>
    <row r="22" spans="1:11" x14ac:dyDescent="0.2">
      <c r="A22" s="2" t="s">
        <v>28</v>
      </c>
      <c r="B22" s="2">
        <v>8947.23</v>
      </c>
      <c r="I22" t="s">
        <v>60</v>
      </c>
      <c r="J22" s="2">
        <f>K22</f>
        <v>0</v>
      </c>
      <c r="K22" s="2">
        <v>0</v>
      </c>
    </row>
    <row r="23" spans="1:11" x14ac:dyDescent="0.2">
      <c r="A23" s="2" t="s">
        <v>29</v>
      </c>
      <c r="B23" s="2">
        <v>321.73</v>
      </c>
      <c r="J23" s="2"/>
      <c r="K23" s="2"/>
    </row>
    <row r="24" spans="1:11" x14ac:dyDescent="0.2">
      <c r="A24" s="4" t="s">
        <v>30</v>
      </c>
      <c r="B24" s="4">
        <v>14108.54</v>
      </c>
      <c r="I24" t="s">
        <v>61</v>
      </c>
      <c r="J24" s="2">
        <f>K24</f>
        <v>0</v>
      </c>
      <c r="K24" s="2">
        <v>0</v>
      </c>
    </row>
    <row r="25" spans="1:11" x14ac:dyDescent="0.2">
      <c r="A25" s="4" t="s">
        <v>31</v>
      </c>
      <c r="B25" s="4">
        <f>B20-B24</f>
        <v>40041.46</v>
      </c>
      <c r="I25" t="s">
        <v>62</v>
      </c>
      <c r="J25" s="2">
        <f>SUM(J21:J24)</f>
        <v>0</v>
      </c>
      <c r="K25" s="2">
        <v>0</v>
      </c>
    </row>
    <row r="26" spans="1:11" x14ac:dyDescent="0.2">
      <c r="C26" s="2">
        <f>B24+B25</f>
        <v>54150</v>
      </c>
      <c r="J26" s="2"/>
      <c r="K26" s="2"/>
    </row>
    <row r="27" spans="1:11" x14ac:dyDescent="0.2">
      <c r="I27" s="23" t="s">
        <v>56</v>
      </c>
      <c r="J27" s="24">
        <f>SUM(J19,J21:J25)</f>
        <v>34017.604800000001</v>
      </c>
      <c r="K27" s="24">
        <v>19894.864799999996</v>
      </c>
    </row>
  </sheetData>
  <mergeCells count="2">
    <mergeCell ref="B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C1C2-62C5-4BC2-B2AF-F98893D48E7C}">
  <dimension ref="A1:F99"/>
  <sheetViews>
    <sheetView workbookViewId="0"/>
  </sheetViews>
  <sheetFormatPr defaultRowHeight="12.75" x14ac:dyDescent="0.2"/>
  <cols>
    <col min="1" max="1" width="14.7109375" style="1" customWidth="1"/>
    <col min="2" max="2" width="17.28515625" style="2" bestFit="1" customWidth="1"/>
    <col min="3" max="3" width="12.42578125" style="2" bestFit="1" customWidth="1"/>
    <col min="4" max="4" width="10.140625" style="2" bestFit="1" customWidth="1"/>
    <col min="5" max="5" width="9.85546875" style="2" bestFit="1" customWidth="1"/>
    <col min="6" max="6" width="11.5703125" style="2" bestFit="1" customWidth="1"/>
  </cols>
  <sheetData>
    <row r="1" spans="1:6" x14ac:dyDescent="0.2">
      <c r="A1" s="3" t="s">
        <v>7</v>
      </c>
      <c r="B1" s="4" t="s">
        <v>8</v>
      </c>
      <c r="C1" s="4" t="s">
        <v>9</v>
      </c>
      <c r="D1" s="4" t="s">
        <v>2</v>
      </c>
      <c r="E1" s="4" t="s">
        <v>3</v>
      </c>
      <c r="F1" s="4" t="s">
        <v>10</v>
      </c>
    </row>
    <row r="2" spans="1:6" x14ac:dyDescent="0.2">
      <c r="A2" s="1">
        <v>45294</v>
      </c>
      <c r="B2" s="2">
        <v>467</v>
      </c>
      <c r="C2" s="2">
        <v>14</v>
      </c>
      <c r="D2" s="2">
        <v>29</v>
      </c>
      <c r="E2" s="2">
        <v>406</v>
      </c>
      <c r="F2" s="2">
        <v>15</v>
      </c>
    </row>
    <row r="3" spans="1:6" x14ac:dyDescent="0.2">
      <c r="A3" s="1">
        <v>45295</v>
      </c>
      <c r="B3" s="2">
        <v>425</v>
      </c>
      <c r="C3" s="2">
        <v>13</v>
      </c>
      <c r="D3" s="2">
        <v>30</v>
      </c>
      <c r="E3" s="2">
        <v>390</v>
      </c>
      <c r="F3" s="2">
        <v>15</v>
      </c>
    </row>
    <row r="4" spans="1:6" x14ac:dyDescent="0.2">
      <c r="A4" s="1">
        <v>45299</v>
      </c>
      <c r="B4" s="2">
        <v>400</v>
      </c>
      <c r="C4" s="2">
        <v>12</v>
      </c>
      <c r="D4" s="2">
        <v>31</v>
      </c>
      <c r="E4" s="2">
        <v>372</v>
      </c>
      <c r="F4" s="2">
        <v>15</v>
      </c>
    </row>
    <row r="5" spans="1:6" x14ac:dyDescent="0.2">
      <c r="A5" s="1">
        <v>45300</v>
      </c>
      <c r="B5" s="2">
        <v>1054</v>
      </c>
      <c r="C5" s="2">
        <v>32</v>
      </c>
      <c r="D5" s="2">
        <v>23</v>
      </c>
      <c r="E5" s="2">
        <v>736</v>
      </c>
      <c r="F5" s="2">
        <v>20</v>
      </c>
    </row>
    <row r="6" spans="1:6" x14ac:dyDescent="0.2">
      <c r="A6" s="1">
        <v>45302</v>
      </c>
      <c r="B6" s="2">
        <v>245</v>
      </c>
      <c r="C6" s="2">
        <v>8</v>
      </c>
      <c r="D6" s="2">
        <v>24</v>
      </c>
      <c r="E6" s="2">
        <v>192</v>
      </c>
      <c r="F6" s="2">
        <v>15</v>
      </c>
    </row>
    <row r="7" spans="1:6" x14ac:dyDescent="0.2">
      <c r="A7" s="1">
        <v>45305</v>
      </c>
      <c r="B7" s="2">
        <v>245</v>
      </c>
      <c r="C7" s="2">
        <v>8</v>
      </c>
      <c r="D7" s="2">
        <v>25</v>
      </c>
      <c r="E7" s="2">
        <v>200</v>
      </c>
      <c r="F7" s="2">
        <v>15</v>
      </c>
    </row>
    <row r="8" spans="1:6" x14ac:dyDescent="0.2">
      <c r="A8" s="1">
        <v>45312</v>
      </c>
      <c r="B8" s="2">
        <v>425</v>
      </c>
      <c r="C8" s="2">
        <v>13</v>
      </c>
      <c r="D8" s="2">
        <v>26</v>
      </c>
      <c r="E8" s="2">
        <v>338</v>
      </c>
      <c r="F8" s="2">
        <v>15</v>
      </c>
    </row>
    <row r="9" spans="1:6" x14ac:dyDescent="0.2">
      <c r="A9" s="1">
        <v>45314</v>
      </c>
      <c r="B9" s="2">
        <v>245</v>
      </c>
      <c r="C9" s="2">
        <v>8</v>
      </c>
      <c r="D9" s="2">
        <v>27</v>
      </c>
      <c r="E9" s="2">
        <v>216</v>
      </c>
      <c r="F9" s="2">
        <v>15</v>
      </c>
    </row>
    <row r="10" spans="1:6" x14ac:dyDescent="0.2">
      <c r="A10" s="1">
        <v>45320</v>
      </c>
      <c r="B10" s="2">
        <v>1703.2</v>
      </c>
      <c r="C10" s="2">
        <v>52</v>
      </c>
      <c r="D10" s="2">
        <v>28</v>
      </c>
      <c r="E10" s="2">
        <v>1456</v>
      </c>
      <c r="F10" s="2">
        <v>20</v>
      </c>
    </row>
    <row r="11" spans="1:6" x14ac:dyDescent="0.2">
      <c r="A11" s="1">
        <v>45321</v>
      </c>
      <c r="B11" s="2">
        <v>765</v>
      </c>
      <c r="C11" s="2">
        <v>24</v>
      </c>
      <c r="D11" s="2">
        <v>29</v>
      </c>
      <c r="E11" s="2">
        <v>696</v>
      </c>
      <c r="F11" s="2">
        <v>20</v>
      </c>
    </row>
    <row r="12" spans="1:6" x14ac:dyDescent="0.2">
      <c r="A12" s="1">
        <v>45328</v>
      </c>
      <c r="B12" s="2">
        <v>850</v>
      </c>
      <c r="C12" s="2">
        <v>26</v>
      </c>
      <c r="D12" s="2">
        <v>30</v>
      </c>
      <c r="E12" s="2">
        <v>780</v>
      </c>
      <c r="F12" s="2">
        <v>20</v>
      </c>
    </row>
    <row r="13" spans="1:6" x14ac:dyDescent="0.2">
      <c r="A13" s="1">
        <v>45331</v>
      </c>
      <c r="B13" s="2">
        <v>1562</v>
      </c>
      <c r="C13" s="2">
        <v>48</v>
      </c>
      <c r="D13" s="2">
        <v>31</v>
      </c>
      <c r="E13" s="2">
        <v>1488</v>
      </c>
      <c r="F13" s="2">
        <v>20</v>
      </c>
    </row>
    <row r="14" spans="1:6" x14ac:dyDescent="0.2">
      <c r="A14" s="1">
        <v>45336</v>
      </c>
      <c r="B14" s="2">
        <v>885</v>
      </c>
      <c r="C14" s="2">
        <v>27</v>
      </c>
      <c r="D14" s="2">
        <v>23</v>
      </c>
      <c r="E14" s="2">
        <v>621</v>
      </c>
      <c r="F14" s="2">
        <v>20</v>
      </c>
    </row>
    <row r="15" spans="1:6" x14ac:dyDescent="0.2">
      <c r="A15" s="1">
        <v>45337</v>
      </c>
      <c r="B15" s="2">
        <v>875</v>
      </c>
      <c r="C15" s="2">
        <v>27</v>
      </c>
      <c r="D15" s="2">
        <v>24</v>
      </c>
      <c r="E15" s="2">
        <v>648</v>
      </c>
      <c r="F15" s="2">
        <v>20</v>
      </c>
    </row>
    <row r="16" spans="1:6" x14ac:dyDescent="0.2">
      <c r="A16" s="1">
        <v>45341</v>
      </c>
      <c r="B16" s="2">
        <v>340</v>
      </c>
      <c r="C16" s="2">
        <v>10</v>
      </c>
      <c r="D16" s="2">
        <v>25</v>
      </c>
      <c r="E16" s="2">
        <v>250</v>
      </c>
      <c r="F16" s="2">
        <v>15</v>
      </c>
    </row>
    <row r="17" spans="1:6" x14ac:dyDescent="0.2">
      <c r="A17" s="1">
        <v>45342</v>
      </c>
      <c r="B17" s="2">
        <v>900</v>
      </c>
      <c r="C17" s="2">
        <v>28</v>
      </c>
      <c r="D17" s="2">
        <v>26</v>
      </c>
      <c r="E17" s="2">
        <v>728</v>
      </c>
      <c r="F17" s="2">
        <v>20</v>
      </c>
    </row>
    <row r="18" spans="1:6" x14ac:dyDescent="0.2">
      <c r="A18" s="1">
        <v>45350</v>
      </c>
      <c r="B18" s="2">
        <v>37.5</v>
      </c>
      <c r="C18" s="2">
        <v>1</v>
      </c>
      <c r="D18" s="2">
        <v>27</v>
      </c>
      <c r="E18" s="2">
        <v>27</v>
      </c>
      <c r="F18" s="2">
        <v>15</v>
      </c>
    </row>
    <row r="19" spans="1:6" x14ac:dyDescent="0.2">
      <c r="A19" s="1">
        <v>45352</v>
      </c>
      <c r="B19" s="2">
        <v>85</v>
      </c>
      <c r="C19" s="2">
        <v>3</v>
      </c>
      <c r="D19" s="2">
        <v>28</v>
      </c>
      <c r="E19" s="2">
        <v>84</v>
      </c>
      <c r="F19" s="2">
        <v>15</v>
      </c>
    </row>
    <row r="20" spans="1:6" x14ac:dyDescent="0.2">
      <c r="A20" s="1">
        <v>45355</v>
      </c>
      <c r="B20" s="2">
        <v>425</v>
      </c>
      <c r="C20" s="2">
        <v>13</v>
      </c>
      <c r="D20" s="2">
        <v>29</v>
      </c>
      <c r="E20" s="2">
        <v>377</v>
      </c>
      <c r="F20" s="2">
        <v>15</v>
      </c>
    </row>
    <row r="21" spans="1:6" x14ac:dyDescent="0.2">
      <c r="A21" s="1">
        <v>45356</v>
      </c>
      <c r="B21" s="2">
        <v>995</v>
      </c>
      <c r="C21" s="2">
        <v>31</v>
      </c>
      <c r="D21" s="2">
        <v>30</v>
      </c>
      <c r="E21" s="2">
        <v>930</v>
      </c>
      <c r="F21" s="2">
        <v>20</v>
      </c>
    </row>
    <row r="22" spans="1:6" x14ac:dyDescent="0.2">
      <c r="A22" s="1">
        <v>45359</v>
      </c>
      <c r="B22" s="2">
        <v>450</v>
      </c>
      <c r="C22" s="2">
        <v>14</v>
      </c>
      <c r="D22" s="2">
        <v>31</v>
      </c>
      <c r="E22" s="2">
        <v>434</v>
      </c>
      <c r="F22" s="2">
        <v>15</v>
      </c>
    </row>
    <row r="23" spans="1:6" x14ac:dyDescent="0.2">
      <c r="A23" s="1">
        <v>45363</v>
      </c>
      <c r="B23" s="2">
        <v>85</v>
      </c>
      <c r="C23" s="2">
        <v>3</v>
      </c>
      <c r="D23" s="2">
        <v>23</v>
      </c>
      <c r="E23" s="2">
        <v>69</v>
      </c>
      <c r="F23" s="2">
        <v>15</v>
      </c>
    </row>
    <row r="24" spans="1:6" x14ac:dyDescent="0.2">
      <c r="A24" s="1">
        <v>45366</v>
      </c>
      <c r="B24" s="2">
        <v>425</v>
      </c>
      <c r="C24" s="2">
        <v>13</v>
      </c>
      <c r="D24" s="2">
        <v>24</v>
      </c>
      <c r="E24" s="2">
        <v>312</v>
      </c>
      <c r="F24" s="2">
        <v>15</v>
      </c>
    </row>
    <row r="25" spans="1:6" x14ac:dyDescent="0.2">
      <c r="A25" s="1">
        <v>45371</v>
      </c>
      <c r="B25" s="2">
        <v>595</v>
      </c>
      <c r="C25" s="2">
        <v>18</v>
      </c>
      <c r="D25" s="2">
        <v>25</v>
      </c>
      <c r="E25" s="2">
        <v>450</v>
      </c>
      <c r="F25" s="2">
        <v>18</v>
      </c>
    </row>
    <row r="26" spans="1:6" x14ac:dyDescent="0.2">
      <c r="A26" s="1">
        <v>45373</v>
      </c>
      <c r="B26" s="2">
        <v>134.5</v>
      </c>
      <c r="C26" s="2">
        <v>4</v>
      </c>
      <c r="D26" s="2">
        <v>26</v>
      </c>
      <c r="E26" s="2">
        <v>104</v>
      </c>
      <c r="F26" s="2">
        <v>15</v>
      </c>
    </row>
    <row r="27" spans="1:6" x14ac:dyDescent="0.2">
      <c r="A27" s="1">
        <v>45378</v>
      </c>
      <c r="B27" s="2">
        <v>255</v>
      </c>
      <c r="C27" s="2">
        <v>8</v>
      </c>
      <c r="D27" s="2">
        <v>27</v>
      </c>
      <c r="E27" s="2">
        <v>216</v>
      </c>
      <c r="F27" s="2">
        <v>15</v>
      </c>
    </row>
    <row r="28" spans="1:6" x14ac:dyDescent="0.2">
      <c r="A28" s="1">
        <v>45381</v>
      </c>
      <c r="B28" s="2">
        <v>297.5</v>
      </c>
      <c r="C28" s="2">
        <v>9</v>
      </c>
      <c r="D28" s="2">
        <v>28</v>
      </c>
      <c r="E28" s="2">
        <v>252</v>
      </c>
      <c r="F28" s="2">
        <v>15</v>
      </c>
    </row>
    <row r="29" spans="1:6" x14ac:dyDescent="0.2">
      <c r="A29" s="1">
        <v>45386</v>
      </c>
      <c r="B29" s="2">
        <v>360</v>
      </c>
      <c r="C29" s="2">
        <v>11</v>
      </c>
      <c r="D29" s="2">
        <v>29</v>
      </c>
      <c r="E29" s="2">
        <v>319</v>
      </c>
      <c r="F29" s="2">
        <v>15</v>
      </c>
    </row>
    <row r="30" spans="1:6" x14ac:dyDescent="0.2">
      <c r="A30" s="1">
        <v>45387</v>
      </c>
      <c r="B30" s="2">
        <v>450</v>
      </c>
      <c r="C30" s="2">
        <v>14</v>
      </c>
      <c r="D30" s="2">
        <v>30</v>
      </c>
      <c r="E30" s="2">
        <v>420</v>
      </c>
      <c r="F30" s="2">
        <v>15</v>
      </c>
    </row>
    <row r="31" spans="1:6" x14ac:dyDescent="0.2">
      <c r="A31" s="1">
        <v>45388</v>
      </c>
      <c r="B31" s="2">
        <v>450</v>
      </c>
      <c r="C31" s="2">
        <v>14</v>
      </c>
      <c r="D31" s="2">
        <v>31</v>
      </c>
      <c r="E31" s="2">
        <v>434</v>
      </c>
      <c r="F31" s="2">
        <v>15</v>
      </c>
    </row>
    <row r="32" spans="1:6" x14ac:dyDescent="0.2">
      <c r="A32" s="1">
        <v>45391</v>
      </c>
      <c r="B32" s="2">
        <v>170</v>
      </c>
      <c r="C32" s="2">
        <v>5</v>
      </c>
      <c r="D32" s="2">
        <v>23</v>
      </c>
      <c r="E32" s="2">
        <v>115</v>
      </c>
      <c r="F32" s="2">
        <v>15</v>
      </c>
    </row>
    <row r="33" spans="1:6" x14ac:dyDescent="0.2">
      <c r="A33" s="1">
        <v>45392</v>
      </c>
      <c r="B33" s="2">
        <v>425</v>
      </c>
      <c r="C33" s="2">
        <v>13</v>
      </c>
      <c r="D33" s="2">
        <v>24</v>
      </c>
      <c r="E33" s="2">
        <v>312</v>
      </c>
      <c r="F33" s="2">
        <v>15</v>
      </c>
    </row>
    <row r="34" spans="1:6" x14ac:dyDescent="0.2">
      <c r="A34" s="1">
        <v>45393</v>
      </c>
      <c r="B34" s="2">
        <v>480</v>
      </c>
      <c r="C34" s="2">
        <v>15</v>
      </c>
      <c r="D34" s="2">
        <v>25</v>
      </c>
      <c r="E34" s="2">
        <v>375</v>
      </c>
      <c r="F34" s="2">
        <v>15</v>
      </c>
    </row>
    <row r="35" spans="1:6" x14ac:dyDescent="0.2">
      <c r="A35" s="1">
        <v>45399</v>
      </c>
      <c r="B35" s="2">
        <v>39.880000000000003</v>
      </c>
      <c r="C35" s="2">
        <v>1</v>
      </c>
      <c r="D35" s="2">
        <v>26</v>
      </c>
      <c r="E35" s="2">
        <v>26</v>
      </c>
      <c r="F35" s="2">
        <v>15</v>
      </c>
    </row>
    <row r="36" spans="1:6" x14ac:dyDescent="0.2">
      <c r="A36" s="1">
        <v>45400</v>
      </c>
      <c r="B36" s="2">
        <v>245</v>
      </c>
      <c r="C36" s="2">
        <v>8</v>
      </c>
      <c r="D36" s="2">
        <v>27</v>
      </c>
      <c r="E36" s="2">
        <v>216</v>
      </c>
      <c r="F36" s="2">
        <v>15</v>
      </c>
    </row>
    <row r="37" spans="1:6" x14ac:dyDescent="0.2">
      <c r="A37" s="1">
        <v>45405</v>
      </c>
      <c r="B37" s="2">
        <v>1275</v>
      </c>
      <c r="C37" s="2">
        <v>39</v>
      </c>
      <c r="D37" s="2">
        <v>28</v>
      </c>
      <c r="E37" s="2">
        <v>1092</v>
      </c>
      <c r="F37" s="2">
        <v>20</v>
      </c>
    </row>
    <row r="38" spans="1:6" x14ac:dyDescent="0.2">
      <c r="A38" s="1">
        <v>45406</v>
      </c>
      <c r="B38" s="2">
        <v>807.5</v>
      </c>
      <c r="C38" s="2">
        <v>25</v>
      </c>
      <c r="D38" s="2">
        <v>29</v>
      </c>
      <c r="E38" s="2">
        <v>725</v>
      </c>
      <c r="F38" s="2">
        <v>20</v>
      </c>
    </row>
    <row r="39" spans="1:6" x14ac:dyDescent="0.2">
      <c r="A39" s="1">
        <v>45407</v>
      </c>
      <c r="B39" s="2">
        <v>630</v>
      </c>
      <c r="C39" s="2">
        <v>19</v>
      </c>
      <c r="D39" s="2">
        <v>30</v>
      </c>
      <c r="E39" s="2">
        <v>570</v>
      </c>
      <c r="F39" s="2">
        <v>19</v>
      </c>
    </row>
    <row r="40" spans="1:6" x14ac:dyDescent="0.2">
      <c r="A40" s="1">
        <v>45418</v>
      </c>
      <c r="B40" s="2">
        <v>260</v>
      </c>
      <c r="C40" s="2">
        <v>8</v>
      </c>
      <c r="D40" s="2">
        <v>31</v>
      </c>
      <c r="E40" s="2">
        <v>248</v>
      </c>
      <c r="F40" s="2">
        <v>15</v>
      </c>
    </row>
    <row r="41" spans="1:6" x14ac:dyDescent="0.2">
      <c r="A41" s="1">
        <v>45420</v>
      </c>
      <c r="B41" s="2">
        <v>260</v>
      </c>
      <c r="C41" s="2">
        <v>8</v>
      </c>
      <c r="D41" s="2">
        <v>23</v>
      </c>
      <c r="E41" s="2">
        <v>184</v>
      </c>
      <c r="F41" s="2">
        <v>15</v>
      </c>
    </row>
    <row r="42" spans="1:6" x14ac:dyDescent="0.2">
      <c r="A42" s="1">
        <v>45432</v>
      </c>
      <c r="B42" s="2">
        <v>2390</v>
      </c>
      <c r="C42" s="2">
        <v>74</v>
      </c>
      <c r="D42" s="2">
        <v>24</v>
      </c>
      <c r="E42" s="2">
        <v>1776</v>
      </c>
      <c r="F42" s="2">
        <v>20</v>
      </c>
    </row>
    <row r="43" spans="1:6" x14ac:dyDescent="0.2">
      <c r="A43" s="1">
        <v>45436</v>
      </c>
      <c r="B43" s="2">
        <v>1055</v>
      </c>
      <c r="C43" s="2">
        <v>32</v>
      </c>
      <c r="D43" s="2">
        <v>25</v>
      </c>
      <c r="E43" s="2">
        <v>800</v>
      </c>
      <c r="F43" s="2">
        <v>20</v>
      </c>
    </row>
    <row r="44" spans="1:6" x14ac:dyDescent="0.2">
      <c r="A44" s="1">
        <v>45437</v>
      </c>
      <c r="B44" s="2">
        <v>450</v>
      </c>
      <c r="C44" s="2">
        <v>14</v>
      </c>
      <c r="D44" s="2">
        <v>26</v>
      </c>
      <c r="E44" s="2">
        <v>364</v>
      </c>
      <c r="F44" s="2">
        <v>15</v>
      </c>
    </row>
    <row r="45" spans="1:6" x14ac:dyDescent="0.2">
      <c r="A45" s="1">
        <v>45439</v>
      </c>
      <c r="B45" s="2">
        <v>1630</v>
      </c>
      <c r="C45" s="2">
        <v>50</v>
      </c>
      <c r="D45" s="2">
        <v>27</v>
      </c>
      <c r="E45" s="2">
        <v>1350</v>
      </c>
      <c r="F45" s="2">
        <v>20</v>
      </c>
    </row>
    <row r="46" spans="1:6" x14ac:dyDescent="0.2">
      <c r="A46" s="1">
        <v>45441</v>
      </c>
      <c r="B46" s="2">
        <v>1555</v>
      </c>
      <c r="C46" s="2">
        <v>48</v>
      </c>
      <c r="D46" s="2">
        <v>28</v>
      </c>
      <c r="E46" s="2">
        <v>1344</v>
      </c>
      <c r="F46" s="2">
        <v>20</v>
      </c>
    </row>
    <row r="47" spans="1:6" x14ac:dyDescent="0.2">
      <c r="A47" s="1">
        <v>45442</v>
      </c>
      <c r="B47" s="2">
        <v>450</v>
      </c>
      <c r="C47" s="2">
        <v>14</v>
      </c>
      <c r="D47" s="2">
        <v>29</v>
      </c>
      <c r="E47" s="2">
        <v>406</v>
      </c>
      <c r="F47" s="2">
        <v>15</v>
      </c>
    </row>
    <row r="48" spans="1:6" x14ac:dyDescent="0.2">
      <c r="A48" s="1">
        <v>45454</v>
      </c>
      <c r="B48" s="2">
        <v>450</v>
      </c>
      <c r="C48" s="2">
        <v>14</v>
      </c>
      <c r="D48" s="2">
        <v>30</v>
      </c>
      <c r="E48" s="2">
        <v>420</v>
      </c>
      <c r="F48" s="2">
        <v>15</v>
      </c>
    </row>
    <row r="49" spans="1:6" x14ac:dyDescent="0.2">
      <c r="A49" s="1">
        <v>45457</v>
      </c>
      <c r="B49" s="2">
        <v>450</v>
      </c>
      <c r="C49" s="2">
        <v>14</v>
      </c>
      <c r="D49" s="2">
        <v>31</v>
      </c>
      <c r="E49" s="2">
        <v>434</v>
      </c>
      <c r="F49" s="2">
        <v>15</v>
      </c>
    </row>
    <row r="50" spans="1:6" x14ac:dyDescent="0.2">
      <c r="A50" s="1">
        <v>45464</v>
      </c>
      <c r="B50" s="2">
        <v>85</v>
      </c>
      <c r="C50" s="2">
        <v>3</v>
      </c>
      <c r="D50" s="2">
        <v>23</v>
      </c>
      <c r="E50" s="2">
        <v>69</v>
      </c>
      <c r="F50" s="2">
        <v>15</v>
      </c>
    </row>
    <row r="51" spans="1:6" x14ac:dyDescent="0.2">
      <c r="A51" s="1">
        <v>45474</v>
      </c>
      <c r="B51" s="2">
        <v>1249.27</v>
      </c>
      <c r="C51" s="2">
        <v>38</v>
      </c>
      <c r="D51" s="2">
        <v>24</v>
      </c>
      <c r="E51" s="2">
        <v>912</v>
      </c>
      <c r="F51" s="2">
        <v>20</v>
      </c>
    </row>
    <row r="52" spans="1:6" x14ac:dyDescent="0.2">
      <c r="A52" s="1">
        <v>45478</v>
      </c>
      <c r="B52" s="2">
        <v>450</v>
      </c>
      <c r="C52" s="2">
        <v>14</v>
      </c>
      <c r="D52" s="2">
        <v>25</v>
      </c>
      <c r="E52" s="2">
        <v>350</v>
      </c>
      <c r="F52" s="2">
        <v>15</v>
      </c>
    </row>
    <row r="53" spans="1:6" x14ac:dyDescent="0.2">
      <c r="A53" s="1">
        <v>45484</v>
      </c>
      <c r="B53" s="2">
        <v>170</v>
      </c>
      <c r="C53" s="2">
        <v>5</v>
      </c>
      <c r="D53" s="2">
        <v>26</v>
      </c>
      <c r="E53" s="2">
        <v>130</v>
      </c>
      <c r="F53" s="2">
        <v>15</v>
      </c>
    </row>
    <row r="54" spans="1:6" x14ac:dyDescent="0.2">
      <c r="A54" s="1">
        <v>45488</v>
      </c>
      <c r="B54" s="2">
        <v>227</v>
      </c>
      <c r="C54" s="2">
        <v>7</v>
      </c>
      <c r="D54" s="2">
        <v>27</v>
      </c>
      <c r="E54" s="2">
        <v>189</v>
      </c>
      <c r="F54" s="2">
        <v>15</v>
      </c>
    </row>
    <row r="55" spans="1:6" x14ac:dyDescent="0.2">
      <c r="A55" s="1">
        <v>45489</v>
      </c>
      <c r="B55" s="2">
        <v>450</v>
      </c>
      <c r="C55" s="2">
        <v>14</v>
      </c>
      <c r="D55" s="2">
        <v>28</v>
      </c>
      <c r="E55" s="2">
        <v>392</v>
      </c>
      <c r="F55" s="2">
        <v>15</v>
      </c>
    </row>
    <row r="56" spans="1:6" x14ac:dyDescent="0.2">
      <c r="A56" s="1">
        <v>45490</v>
      </c>
      <c r="B56" s="2">
        <v>450</v>
      </c>
      <c r="C56" s="2">
        <v>14</v>
      </c>
      <c r="D56" s="2">
        <v>29</v>
      </c>
      <c r="E56" s="2">
        <v>406</v>
      </c>
      <c r="F56" s="2">
        <v>15</v>
      </c>
    </row>
    <row r="57" spans="1:6" x14ac:dyDescent="0.2">
      <c r="A57" s="1">
        <v>45491</v>
      </c>
      <c r="B57" s="2">
        <v>450</v>
      </c>
      <c r="C57" s="2">
        <v>14</v>
      </c>
      <c r="D57" s="2">
        <v>30</v>
      </c>
      <c r="E57" s="2">
        <v>420</v>
      </c>
      <c r="F57" s="2">
        <v>15</v>
      </c>
    </row>
    <row r="58" spans="1:6" x14ac:dyDescent="0.2">
      <c r="A58" s="1">
        <v>45497</v>
      </c>
      <c r="B58" s="2">
        <v>255</v>
      </c>
      <c r="C58" s="2">
        <v>8</v>
      </c>
      <c r="D58" s="2">
        <v>31</v>
      </c>
      <c r="E58" s="2">
        <v>248</v>
      </c>
      <c r="F58" s="2">
        <v>15</v>
      </c>
    </row>
    <row r="59" spans="1:6" x14ac:dyDescent="0.2">
      <c r="A59" s="1">
        <v>45522</v>
      </c>
      <c r="B59" s="2">
        <v>450</v>
      </c>
      <c r="C59" s="2">
        <v>14</v>
      </c>
      <c r="D59" s="2">
        <v>23</v>
      </c>
      <c r="E59" s="2">
        <v>322</v>
      </c>
      <c r="F59" s="2">
        <v>15</v>
      </c>
    </row>
    <row r="60" spans="1:6" x14ac:dyDescent="0.2">
      <c r="A60" s="1">
        <v>45523</v>
      </c>
      <c r="B60" s="2">
        <v>450</v>
      </c>
      <c r="C60" s="2">
        <v>14</v>
      </c>
      <c r="D60" s="2">
        <v>24</v>
      </c>
      <c r="E60" s="2">
        <v>336</v>
      </c>
      <c r="F60" s="2">
        <v>15</v>
      </c>
    </row>
    <row r="61" spans="1:6" x14ac:dyDescent="0.2">
      <c r="A61" s="1">
        <v>45524</v>
      </c>
      <c r="B61" s="2">
        <v>450</v>
      </c>
      <c r="C61" s="2">
        <v>14</v>
      </c>
      <c r="D61" s="2">
        <v>25</v>
      </c>
      <c r="E61" s="2">
        <v>350</v>
      </c>
      <c r="F61" s="2">
        <v>15</v>
      </c>
    </row>
    <row r="62" spans="1:6" x14ac:dyDescent="0.2">
      <c r="A62" s="1">
        <v>45527</v>
      </c>
      <c r="B62" s="2">
        <v>450</v>
      </c>
      <c r="C62" s="2">
        <v>14</v>
      </c>
      <c r="D62" s="2">
        <v>26</v>
      </c>
      <c r="E62" s="2">
        <v>364</v>
      </c>
      <c r="F62" s="2">
        <v>15</v>
      </c>
    </row>
    <row r="63" spans="1:6" x14ac:dyDescent="0.2">
      <c r="A63" s="1">
        <v>45531</v>
      </c>
      <c r="B63" s="2">
        <v>290</v>
      </c>
      <c r="C63" s="2">
        <v>9</v>
      </c>
      <c r="D63" s="2">
        <v>27</v>
      </c>
      <c r="E63" s="2">
        <v>243</v>
      </c>
      <c r="F63" s="2">
        <v>15</v>
      </c>
    </row>
    <row r="64" spans="1:6" x14ac:dyDescent="0.2">
      <c r="A64" s="1">
        <v>45532</v>
      </c>
      <c r="B64" s="2">
        <v>450</v>
      </c>
      <c r="C64" s="2">
        <v>14</v>
      </c>
      <c r="D64" s="2">
        <v>28</v>
      </c>
      <c r="E64" s="2">
        <v>392</v>
      </c>
      <c r="F64" s="2">
        <v>15</v>
      </c>
    </row>
    <row r="65" spans="1:6" x14ac:dyDescent="0.2">
      <c r="A65" s="1">
        <v>45533</v>
      </c>
      <c r="B65" s="2">
        <v>900</v>
      </c>
      <c r="C65" s="2">
        <v>28</v>
      </c>
      <c r="D65" s="2">
        <v>29</v>
      </c>
      <c r="E65" s="2">
        <v>812</v>
      </c>
      <c r="F65" s="2">
        <v>20</v>
      </c>
    </row>
    <row r="66" spans="1:6" x14ac:dyDescent="0.2">
      <c r="A66" s="1">
        <v>45537</v>
      </c>
      <c r="B66" s="2">
        <v>900</v>
      </c>
      <c r="C66" s="2">
        <v>28</v>
      </c>
      <c r="D66" s="2">
        <v>30</v>
      </c>
      <c r="E66" s="2">
        <v>840</v>
      </c>
      <c r="F66" s="2">
        <v>20</v>
      </c>
    </row>
    <row r="67" spans="1:6" x14ac:dyDescent="0.2">
      <c r="A67" s="1">
        <v>45538</v>
      </c>
      <c r="B67" s="2">
        <v>622</v>
      </c>
      <c r="C67" s="2">
        <v>19</v>
      </c>
      <c r="D67" s="2">
        <v>31</v>
      </c>
      <c r="E67" s="2">
        <v>589</v>
      </c>
      <c r="F67" s="2">
        <v>19</v>
      </c>
    </row>
    <row r="68" spans="1:6" x14ac:dyDescent="0.2">
      <c r="A68" s="1">
        <v>45553</v>
      </c>
      <c r="B68" s="2">
        <v>290</v>
      </c>
      <c r="C68" s="2">
        <v>9</v>
      </c>
      <c r="D68" s="2">
        <v>23</v>
      </c>
      <c r="E68" s="2">
        <v>207</v>
      </c>
      <c r="F68" s="2">
        <v>15</v>
      </c>
    </row>
    <row r="69" spans="1:6" x14ac:dyDescent="0.2">
      <c r="A69" s="1">
        <v>45555</v>
      </c>
      <c r="B69" s="2">
        <v>275</v>
      </c>
      <c r="C69" s="2">
        <v>8</v>
      </c>
      <c r="D69" s="2">
        <v>24</v>
      </c>
      <c r="E69" s="2">
        <v>192</v>
      </c>
      <c r="F69" s="2">
        <v>15</v>
      </c>
    </row>
    <row r="70" spans="1:6" x14ac:dyDescent="0.2">
      <c r="A70" s="1">
        <v>45558</v>
      </c>
      <c r="B70" s="2">
        <v>450</v>
      </c>
      <c r="C70" s="2">
        <v>14</v>
      </c>
      <c r="D70" s="2">
        <v>25</v>
      </c>
      <c r="E70" s="2">
        <v>350</v>
      </c>
      <c r="F70" s="2">
        <v>15</v>
      </c>
    </row>
    <row r="71" spans="1:6" x14ac:dyDescent="0.2">
      <c r="A71" s="1">
        <v>45559</v>
      </c>
      <c r="B71" s="2">
        <v>967</v>
      </c>
      <c r="C71" s="2">
        <v>30</v>
      </c>
      <c r="D71" s="2">
        <v>26</v>
      </c>
      <c r="E71" s="2">
        <v>780</v>
      </c>
      <c r="F71" s="2">
        <v>20</v>
      </c>
    </row>
    <row r="72" spans="1:6" x14ac:dyDescent="0.2">
      <c r="A72" s="1">
        <v>45560</v>
      </c>
      <c r="B72" s="2">
        <v>542</v>
      </c>
      <c r="C72" s="2">
        <v>17</v>
      </c>
      <c r="D72" s="2">
        <v>27</v>
      </c>
      <c r="E72" s="2">
        <v>459</v>
      </c>
      <c r="F72" s="2">
        <v>17</v>
      </c>
    </row>
    <row r="73" spans="1:6" x14ac:dyDescent="0.2">
      <c r="A73" s="1">
        <v>45562</v>
      </c>
      <c r="B73" s="2">
        <v>450</v>
      </c>
      <c r="C73" s="2">
        <v>14</v>
      </c>
      <c r="D73" s="2">
        <v>28</v>
      </c>
      <c r="E73" s="2">
        <v>392</v>
      </c>
      <c r="F73" s="2">
        <v>15</v>
      </c>
    </row>
    <row r="74" spans="1:6" x14ac:dyDescent="0.2">
      <c r="A74" s="1">
        <v>45565</v>
      </c>
      <c r="B74" s="2">
        <v>1037</v>
      </c>
      <c r="C74" s="2">
        <v>32</v>
      </c>
      <c r="D74" s="2">
        <v>29</v>
      </c>
      <c r="E74" s="2">
        <v>928</v>
      </c>
      <c r="F74" s="2">
        <v>20</v>
      </c>
    </row>
    <row r="75" spans="1:6" x14ac:dyDescent="0.2">
      <c r="A75" s="1">
        <v>45566</v>
      </c>
      <c r="B75" s="2">
        <v>450</v>
      </c>
      <c r="C75" s="2">
        <v>14</v>
      </c>
      <c r="D75" s="2">
        <v>30</v>
      </c>
      <c r="E75" s="2">
        <v>420</v>
      </c>
      <c r="F75" s="2">
        <v>15</v>
      </c>
    </row>
    <row r="76" spans="1:6" x14ac:dyDescent="0.2">
      <c r="A76" s="1">
        <v>45567</v>
      </c>
      <c r="B76" s="2">
        <v>450</v>
      </c>
      <c r="C76" s="2">
        <v>14</v>
      </c>
      <c r="D76" s="2">
        <v>31</v>
      </c>
      <c r="E76" s="2">
        <v>434</v>
      </c>
      <c r="F76" s="2">
        <v>15</v>
      </c>
    </row>
    <row r="77" spans="1:6" x14ac:dyDescent="0.2">
      <c r="A77" s="1">
        <v>45579</v>
      </c>
      <c r="B77" s="2">
        <v>697</v>
      </c>
      <c r="C77" s="2">
        <v>21</v>
      </c>
      <c r="D77" s="2">
        <v>23</v>
      </c>
      <c r="E77" s="2">
        <v>483</v>
      </c>
      <c r="F77" s="2">
        <v>20</v>
      </c>
    </row>
    <row r="78" spans="1:6" x14ac:dyDescent="0.2">
      <c r="A78" s="1">
        <v>45586</v>
      </c>
      <c r="B78" s="2">
        <v>290</v>
      </c>
      <c r="C78" s="2">
        <v>9</v>
      </c>
      <c r="D78" s="2">
        <v>24</v>
      </c>
      <c r="E78" s="2">
        <v>216</v>
      </c>
      <c r="F78" s="2">
        <v>15</v>
      </c>
    </row>
    <row r="79" spans="1:6" x14ac:dyDescent="0.2">
      <c r="A79" s="1">
        <v>45600</v>
      </c>
      <c r="B79" s="2">
        <v>1800</v>
      </c>
      <c r="C79" s="2">
        <v>55</v>
      </c>
      <c r="D79" s="2">
        <v>25</v>
      </c>
      <c r="E79" s="2">
        <v>1375</v>
      </c>
      <c r="F79" s="2">
        <v>20</v>
      </c>
    </row>
    <row r="80" spans="1:6" x14ac:dyDescent="0.2">
      <c r="A80" s="1">
        <v>45601</v>
      </c>
      <c r="B80" s="2">
        <v>450</v>
      </c>
      <c r="C80" s="2">
        <v>14</v>
      </c>
      <c r="D80" s="2">
        <v>26</v>
      </c>
      <c r="E80" s="2">
        <v>364</v>
      </c>
      <c r="F80" s="2">
        <v>15</v>
      </c>
    </row>
    <row r="81" spans="1:6" x14ac:dyDescent="0.2">
      <c r="A81" s="1">
        <v>45605</v>
      </c>
      <c r="B81" s="2">
        <v>450</v>
      </c>
      <c r="C81" s="2">
        <v>14</v>
      </c>
      <c r="D81" s="2">
        <v>27</v>
      </c>
      <c r="E81" s="2">
        <v>378</v>
      </c>
      <c r="F81" s="2">
        <v>15</v>
      </c>
    </row>
    <row r="82" spans="1:6" x14ac:dyDescent="0.2">
      <c r="A82" s="1">
        <v>45610</v>
      </c>
      <c r="B82" s="2">
        <v>270</v>
      </c>
      <c r="C82" s="2">
        <v>8</v>
      </c>
      <c r="D82" s="2">
        <v>28</v>
      </c>
      <c r="E82" s="2">
        <v>224</v>
      </c>
      <c r="F82" s="2">
        <v>15</v>
      </c>
    </row>
    <row r="83" spans="1:6" x14ac:dyDescent="0.2">
      <c r="A83" s="1">
        <v>45615</v>
      </c>
      <c r="B83" s="2">
        <v>450</v>
      </c>
      <c r="C83" s="2">
        <v>14</v>
      </c>
      <c r="D83" s="2">
        <v>29</v>
      </c>
      <c r="E83" s="2">
        <v>406</v>
      </c>
      <c r="F83" s="2">
        <v>15</v>
      </c>
    </row>
    <row r="84" spans="1:6" x14ac:dyDescent="0.2">
      <c r="A84" s="1">
        <v>45617</v>
      </c>
      <c r="B84" s="2">
        <v>450</v>
      </c>
      <c r="C84" s="2">
        <v>14</v>
      </c>
      <c r="D84" s="2">
        <v>30</v>
      </c>
      <c r="E84" s="2">
        <v>420</v>
      </c>
      <c r="F84" s="2">
        <v>15</v>
      </c>
    </row>
    <row r="85" spans="1:6" x14ac:dyDescent="0.2">
      <c r="A85" s="1">
        <v>45618</v>
      </c>
      <c r="B85" s="2">
        <v>660</v>
      </c>
      <c r="C85" s="2">
        <v>20</v>
      </c>
      <c r="D85" s="2">
        <v>31</v>
      </c>
      <c r="E85" s="2">
        <v>620</v>
      </c>
      <c r="F85" s="2">
        <v>20</v>
      </c>
    </row>
    <row r="86" spans="1:6" x14ac:dyDescent="0.2">
      <c r="A86" s="1">
        <v>45623</v>
      </c>
      <c r="B86" s="2">
        <v>450</v>
      </c>
      <c r="C86" s="2">
        <v>14</v>
      </c>
      <c r="D86" s="2">
        <v>23</v>
      </c>
      <c r="E86" s="2">
        <v>322</v>
      </c>
      <c r="F86" s="2">
        <v>15</v>
      </c>
    </row>
    <row r="87" spans="1:6" x14ac:dyDescent="0.2">
      <c r="A87" s="1">
        <v>45629</v>
      </c>
      <c r="B87" s="2">
        <v>685</v>
      </c>
      <c r="C87" s="2">
        <v>21</v>
      </c>
      <c r="D87" s="2">
        <v>24</v>
      </c>
      <c r="E87" s="2">
        <v>504</v>
      </c>
      <c r="F87" s="2">
        <v>20</v>
      </c>
    </row>
    <row r="88" spans="1:6" x14ac:dyDescent="0.2">
      <c r="A88" s="1">
        <v>45631</v>
      </c>
      <c r="B88" s="2">
        <v>585.29999999999995</v>
      </c>
      <c r="C88" s="2">
        <v>18</v>
      </c>
      <c r="D88" s="2">
        <v>25</v>
      </c>
      <c r="E88" s="2">
        <v>450</v>
      </c>
      <c r="F88" s="2">
        <v>18</v>
      </c>
    </row>
    <row r="89" spans="1:6" x14ac:dyDescent="0.2">
      <c r="A89" s="1">
        <v>45632</v>
      </c>
      <c r="B89" s="2">
        <v>757.5</v>
      </c>
      <c r="C89" s="2">
        <v>23</v>
      </c>
      <c r="D89" s="2">
        <v>26</v>
      </c>
      <c r="E89" s="2">
        <v>598</v>
      </c>
      <c r="F89" s="2">
        <v>20</v>
      </c>
    </row>
    <row r="90" spans="1:6" x14ac:dyDescent="0.2">
      <c r="A90" s="1">
        <v>45642</v>
      </c>
      <c r="B90" s="2">
        <v>725</v>
      </c>
      <c r="C90" s="2">
        <v>22</v>
      </c>
      <c r="D90" s="2">
        <v>27</v>
      </c>
      <c r="E90" s="2">
        <v>594</v>
      </c>
      <c r="F90" s="2">
        <v>20</v>
      </c>
    </row>
    <row r="91" spans="1:6" x14ac:dyDescent="0.2">
      <c r="A91" s="1">
        <v>45643</v>
      </c>
      <c r="B91" s="2">
        <v>1650</v>
      </c>
      <c r="C91" s="2">
        <v>51</v>
      </c>
      <c r="D91" s="2">
        <v>28</v>
      </c>
      <c r="E91" s="2">
        <v>1428</v>
      </c>
      <c r="F91" s="2">
        <v>20</v>
      </c>
    </row>
    <row r="92" spans="1:6" x14ac:dyDescent="0.2">
      <c r="A92" s="1">
        <v>45645</v>
      </c>
      <c r="B92" s="2">
        <v>352.5</v>
      </c>
      <c r="C92" s="2">
        <v>11</v>
      </c>
      <c r="D92" s="2">
        <v>29</v>
      </c>
      <c r="E92" s="2">
        <v>319</v>
      </c>
      <c r="F92" s="2">
        <v>15</v>
      </c>
    </row>
    <row r="93" spans="1:6" x14ac:dyDescent="0.2">
      <c r="A93" s="1">
        <v>45646</v>
      </c>
      <c r="B93" s="2">
        <v>352.5</v>
      </c>
      <c r="C93" s="2">
        <v>11</v>
      </c>
      <c r="D93" s="2">
        <v>30</v>
      </c>
      <c r="E93" s="2">
        <v>330</v>
      </c>
      <c r="F93" s="2">
        <v>15</v>
      </c>
    </row>
    <row r="94" spans="1:6" x14ac:dyDescent="0.2">
      <c r="A94" s="1">
        <v>45647</v>
      </c>
      <c r="B94" s="2">
        <v>450</v>
      </c>
      <c r="C94" s="2">
        <v>14</v>
      </c>
      <c r="D94" s="2">
        <v>31</v>
      </c>
      <c r="E94" s="2">
        <v>434</v>
      </c>
      <c r="F94" s="2">
        <v>15</v>
      </c>
    </row>
    <row r="95" spans="1:6" x14ac:dyDescent="0.2">
      <c r="A95" s="1">
        <v>45649</v>
      </c>
      <c r="B95" s="2">
        <v>450</v>
      </c>
      <c r="C95" s="2">
        <v>14</v>
      </c>
      <c r="D95" s="2">
        <v>23</v>
      </c>
      <c r="E95" s="2">
        <v>322</v>
      </c>
      <c r="F95" s="2">
        <v>15</v>
      </c>
    </row>
    <row r="96" spans="1:6" x14ac:dyDescent="0.2">
      <c r="A96" s="1">
        <v>45650</v>
      </c>
      <c r="B96" s="2">
        <v>725</v>
      </c>
      <c r="C96" s="2">
        <v>22</v>
      </c>
      <c r="D96" s="2">
        <v>24</v>
      </c>
      <c r="E96" s="2">
        <v>528</v>
      </c>
      <c r="F96" s="2">
        <v>20</v>
      </c>
    </row>
    <row r="97" spans="1:6" x14ac:dyDescent="0.2">
      <c r="A97" s="1">
        <v>45653</v>
      </c>
      <c r="B97" s="2">
        <v>802.5</v>
      </c>
      <c r="C97" s="2">
        <v>25</v>
      </c>
      <c r="D97" s="2">
        <v>25</v>
      </c>
      <c r="E97" s="2">
        <v>625</v>
      </c>
      <c r="F97" s="2">
        <v>20</v>
      </c>
    </row>
    <row r="99" spans="1:6" x14ac:dyDescent="0.2">
      <c r="A99" s="1" t="s">
        <v>4</v>
      </c>
      <c r="B99" s="2">
        <f>SUM(B2:B97)</f>
        <v>56614.650000000009</v>
      </c>
      <c r="C99" s="2">
        <f>SUM(C2:C97)</f>
        <v>1745</v>
      </c>
      <c r="E99" s="2">
        <f>SUM(E2:E97)</f>
        <v>47168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7FEA-B378-4890-8FD0-1BBF1D24C64E}">
  <dimension ref="A1:D303"/>
  <sheetViews>
    <sheetView workbookViewId="0"/>
  </sheetViews>
  <sheetFormatPr defaultRowHeight="12.75" x14ac:dyDescent="0.2"/>
  <cols>
    <col min="1" max="1" width="14.7109375" style="1" customWidth="1"/>
    <col min="2" max="2" width="11.85546875" style="2" bestFit="1" customWidth="1"/>
    <col min="3" max="3" width="10.140625" style="2" bestFit="1" customWidth="1"/>
    <col min="4" max="4" width="9.85546875" style="2" bestFit="1" customWidth="1"/>
  </cols>
  <sheetData>
    <row r="1" spans="1:4" x14ac:dyDescent="0.2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>
        <v>45293</v>
      </c>
      <c r="B2" s="2">
        <v>6</v>
      </c>
      <c r="C2" s="2">
        <v>26.17</v>
      </c>
      <c r="D2" s="2">
        <v>157</v>
      </c>
    </row>
    <row r="3" spans="1:4" x14ac:dyDescent="0.2">
      <c r="A3" s="1">
        <v>45294</v>
      </c>
      <c r="B3" s="2">
        <v>6</v>
      </c>
      <c r="C3" s="2">
        <v>26.5</v>
      </c>
      <c r="D3" s="2">
        <v>159</v>
      </c>
    </row>
    <row r="4" spans="1:4" x14ac:dyDescent="0.2">
      <c r="A4" s="1">
        <v>45295</v>
      </c>
      <c r="B4" s="2">
        <v>6</v>
      </c>
      <c r="C4" s="2">
        <v>27.17</v>
      </c>
      <c r="D4" s="2">
        <v>163</v>
      </c>
    </row>
    <row r="5" spans="1:4" x14ac:dyDescent="0.2">
      <c r="A5" s="1">
        <v>45296</v>
      </c>
      <c r="B5" s="2">
        <v>6</v>
      </c>
      <c r="C5" s="2">
        <v>26.33</v>
      </c>
      <c r="D5" s="2">
        <v>158</v>
      </c>
    </row>
    <row r="6" spans="1:4" x14ac:dyDescent="0.2">
      <c r="A6" s="1">
        <v>45297</v>
      </c>
      <c r="B6" s="2">
        <v>6</v>
      </c>
      <c r="C6" s="2">
        <v>26.33</v>
      </c>
      <c r="D6" s="2">
        <v>158</v>
      </c>
    </row>
    <row r="7" spans="1:4" x14ac:dyDescent="0.2">
      <c r="A7" s="1">
        <v>45299</v>
      </c>
      <c r="B7" s="2">
        <v>6</v>
      </c>
      <c r="C7" s="2">
        <v>26</v>
      </c>
      <c r="D7" s="2">
        <v>156</v>
      </c>
    </row>
    <row r="8" spans="1:4" x14ac:dyDescent="0.2">
      <c r="A8" s="1">
        <v>45300</v>
      </c>
      <c r="B8" s="2">
        <v>6</v>
      </c>
      <c r="C8" s="2">
        <v>27.17</v>
      </c>
      <c r="D8" s="2">
        <v>163</v>
      </c>
    </row>
    <row r="9" spans="1:4" x14ac:dyDescent="0.2">
      <c r="A9" s="1">
        <v>45301</v>
      </c>
      <c r="B9" s="2">
        <v>6</v>
      </c>
      <c r="C9" s="2">
        <v>27.83</v>
      </c>
      <c r="D9" s="2">
        <v>167</v>
      </c>
    </row>
    <row r="10" spans="1:4" x14ac:dyDescent="0.2">
      <c r="A10" s="1">
        <v>45302</v>
      </c>
      <c r="B10" s="2">
        <v>6</v>
      </c>
      <c r="C10" s="2">
        <v>27.83</v>
      </c>
      <c r="D10" s="2">
        <v>167</v>
      </c>
    </row>
    <row r="11" spans="1:4" x14ac:dyDescent="0.2">
      <c r="A11" s="1">
        <v>45303</v>
      </c>
      <c r="B11" s="2">
        <v>6</v>
      </c>
      <c r="C11" s="2">
        <v>29</v>
      </c>
      <c r="D11" s="2">
        <v>174</v>
      </c>
    </row>
    <row r="12" spans="1:4" x14ac:dyDescent="0.2">
      <c r="A12" s="1">
        <v>45304</v>
      </c>
      <c r="B12" s="2">
        <v>6</v>
      </c>
      <c r="C12" s="2">
        <v>28.5</v>
      </c>
      <c r="D12" s="2">
        <v>171</v>
      </c>
    </row>
    <row r="13" spans="1:4" x14ac:dyDescent="0.2">
      <c r="A13" s="1">
        <v>45306</v>
      </c>
      <c r="B13" s="2">
        <v>6</v>
      </c>
      <c r="C13" s="2">
        <v>27.17</v>
      </c>
      <c r="D13" s="2">
        <v>163</v>
      </c>
    </row>
    <row r="14" spans="1:4" x14ac:dyDescent="0.2">
      <c r="A14" s="1">
        <v>45307</v>
      </c>
      <c r="B14" s="2">
        <v>6</v>
      </c>
      <c r="C14" s="2">
        <v>27.17</v>
      </c>
      <c r="D14" s="2">
        <v>163</v>
      </c>
    </row>
    <row r="15" spans="1:4" x14ac:dyDescent="0.2">
      <c r="A15" s="1">
        <v>45308</v>
      </c>
      <c r="B15" s="2">
        <v>6</v>
      </c>
      <c r="C15" s="2">
        <v>25.5</v>
      </c>
      <c r="D15" s="2">
        <v>153</v>
      </c>
    </row>
    <row r="16" spans="1:4" x14ac:dyDescent="0.2">
      <c r="A16" s="1">
        <v>45309</v>
      </c>
      <c r="B16" s="2">
        <v>6</v>
      </c>
      <c r="C16" s="2">
        <v>27.83</v>
      </c>
      <c r="D16" s="2">
        <v>167</v>
      </c>
    </row>
    <row r="17" spans="1:4" x14ac:dyDescent="0.2">
      <c r="A17" s="1">
        <v>45310</v>
      </c>
      <c r="B17" s="2">
        <v>6</v>
      </c>
      <c r="C17" s="2">
        <v>27.17</v>
      </c>
      <c r="D17" s="2">
        <v>163</v>
      </c>
    </row>
    <row r="18" spans="1:4" x14ac:dyDescent="0.2">
      <c r="A18" s="1">
        <v>45311</v>
      </c>
      <c r="B18" s="2">
        <v>6</v>
      </c>
      <c r="C18" s="2">
        <v>28.5</v>
      </c>
      <c r="D18" s="2">
        <v>171</v>
      </c>
    </row>
    <row r="19" spans="1:4" x14ac:dyDescent="0.2">
      <c r="A19" s="1">
        <v>45313</v>
      </c>
      <c r="B19" s="2">
        <v>6</v>
      </c>
      <c r="C19" s="2">
        <v>26.67</v>
      </c>
      <c r="D19" s="2">
        <v>160</v>
      </c>
    </row>
    <row r="20" spans="1:4" x14ac:dyDescent="0.2">
      <c r="A20" s="1">
        <v>45314</v>
      </c>
      <c r="B20" s="2">
        <v>6</v>
      </c>
      <c r="C20" s="2">
        <v>27.83</v>
      </c>
      <c r="D20" s="2">
        <v>167</v>
      </c>
    </row>
    <row r="21" spans="1:4" x14ac:dyDescent="0.2">
      <c r="A21" s="1">
        <v>45315</v>
      </c>
      <c r="B21" s="2">
        <v>6</v>
      </c>
      <c r="C21" s="2">
        <v>26.33</v>
      </c>
      <c r="D21" s="2">
        <v>158</v>
      </c>
    </row>
    <row r="22" spans="1:4" x14ac:dyDescent="0.2">
      <c r="A22" s="1">
        <v>45316</v>
      </c>
      <c r="B22" s="2">
        <v>6</v>
      </c>
      <c r="C22" s="2">
        <v>28.17</v>
      </c>
      <c r="D22" s="2">
        <v>169</v>
      </c>
    </row>
    <row r="23" spans="1:4" x14ac:dyDescent="0.2">
      <c r="A23" s="1">
        <v>45317</v>
      </c>
      <c r="B23" s="2">
        <v>6</v>
      </c>
      <c r="C23" s="2">
        <v>27.17</v>
      </c>
      <c r="D23" s="2">
        <v>163</v>
      </c>
    </row>
    <row r="24" spans="1:4" x14ac:dyDescent="0.2">
      <c r="A24" s="1">
        <v>45318</v>
      </c>
      <c r="B24" s="2">
        <v>6</v>
      </c>
      <c r="C24" s="2">
        <v>29</v>
      </c>
      <c r="D24" s="2">
        <v>174</v>
      </c>
    </row>
    <row r="25" spans="1:4" x14ac:dyDescent="0.2">
      <c r="A25" s="1">
        <v>45320</v>
      </c>
      <c r="B25" s="2">
        <v>6</v>
      </c>
      <c r="C25" s="2">
        <v>27</v>
      </c>
      <c r="D25" s="2">
        <v>162</v>
      </c>
    </row>
    <row r="26" spans="1:4" x14ac:dyDescent="0.2">
      <c r="A26" s="1">
        <v>45321</v>
      </c>
      <c r="B26" s="2">
        <v>6</v>
      </c>
      <c r="C26" s="2">
        <v>28.5</v>
      </c>
      <c r="D26" s="2">
        <v>171</v>
      </c>
    </row>
    <row r="27" spans="1:4" x14ac:dyDescent="0.2">
      <c r="A27" s="1">
        <v>45322</v>
      </c>
      <c r="B27" s="2">
        <v>6</v>
      </c>
      <c r="C27" s="2">
        <v>29</v>
      </c>
      <c r="D27" s="2">
        <v>174</v>
      </c>
    </row>
    <row r="28" spans="1:4" x14ac:dyDescent="0.2">
      <c r="A28" s="1">
        <v>45323</v>
      </c>
      <c r="B28" s="2">
        <v>6</v>
      </c>
      <c r="C28" s="2">
        <v>26.67</v>
      </c>
      <c r="D28" s="2">
        <v>160</v>
      </c>
    </row>
    <row r="29" spans="1:4" x14ac:dyDescent="0.2">
      <c r="A29" s="1">
        <v>45324</v>
      </c>
      <c r="B29" s="2">
        <v>6</v>
      </c>
      <c r="C29" s="2">
        <v>27.33</v>
      </c>
      <c r="D29" s="2">
        <v>164</v>
      </c>
    </row>
    <row r="30" spans="1:4" x14ac:dyDescent="0.2">
      <c r="A30" s="1">
        <v>45325</v>
      </c>
      <c r="B30" s="2">
        <v>6</v>
      </c>
      <c r="C30" s="2">
        <v>28.83</v>
      </c>
      <c r="D30" s="2">
        <v>173</v>
      </c>
    </row>
    <row r="31" spans="1:4" x14ac:dyDescent="0.2">
      <c r="A31" s="1">
        <v>45327</v>
      </c>
      <c r="B31" s="2">
        <v>6</v>
      </c>
      <c r="C31" s="2">
        <v>28.5</v>
      </c>
      <c r="D31" s="2">
        <v>171</v>
      </c>
    </row>
    <row r="32" spans="1:4" x14ac:dyDescent="0.2">
      <c r="A32" s="1">
        <v>45328</v>
      </c>
      <c r="B32" s="2">
        <v>6</v>
      </c>
      <c r="C32" s="2">
        <v>28.67</v>
      </c>
      <c r="D32" s="2">
        <v>172</v>
      </c>
    </row>
    <row r="33" spans="1:4" x14ac:dyDescent="0.2">
      <c r="A33" s="1">
        <v>45329</v>
      </c>
      <c r="B33" s="2">
        <v>6</v>
      </c>
      <c r="C33" s="2">
        <v>28.17</v>
      </c>
      <c r="D33" s="2">
        <v>169</v>
      </c>
    </row>
    <row r="34" spans="1:4" x14ac:dyDescent="0.2">
      <c r="A34" s="1">
        <v>45330</v>
      </c>
      <c r="B34" s="2">
        <v>6</v>
      </c>
      <c r="C34" s="2">
        <v>27.67</v>
      </c>
      <c r="D34" s="2">
        <v>166</v>
      </c>
    </row>
    <row r="35" spans="1:4" x14ac:dyDescent="0.2">
      <c r="A35" s="1">
        <v>45331</v>
      </c>
      <c r="B35" s="2">
        <v>6</v>
      </c>
      <c r="C35" s="2">
        <v>28</v>
      </c>
      <c r="D35" s="2">
        <v>168</v>
      </c>
    </row>
    <row r="36" spans="1:4" x14ac:dyDescent="0.2">
      <c r="A36" s="1">
        <v>45332</v>
      </c>
      <c r="B36" s="2">
        <v>6</v>
      </c>
      <c r="C36" s="2">
        <v>26.33</v>
      </c>
      <c r="D36" s="2">
        <v>158</v>
      </c>
    </row>
    <row r="37" spans="1:4" x14ac:dyDescent="0.2">
      <c r="A37" s="1">
        <v>45334</v>
      </c>
      <c r="B37" s="2">
        <v>6</v>
      </c>
      <c r="C37" s="2">
        <v>25.5</v>
      </c>
      <c r="D37" s="2">
        <v>153</v>
      </c>
    </row>
    <row r="38" spans="1:4" x14ac:dyDescent="0.2">
      <c r="A38" s="1">
        <v>45335</v>
      </c>
      <c r="B38" s="2">
        <v>6</v>
      </c>
      <c r="C38" s="2">
        <v>27.83</v>
      </c>
      <c r="D38" s="2">
        <v>167</v>
      </c>
    </row>
    <row r="39" spans="1:4" x14ac:dyDescent="0.2">
      <c r="A39" s="1">
        <v>45336</v>
      </c>
      <c r="B39" s="2">
        <v>6</v>
      </c>
      <c r="C39" s="2">
        <v>25.67</v>
      </c>
      <c r="D39" s="2">
        <v>154</v>
      </c>
    </row>
    <row r="40" spans="1:4" x14ac:dyDescent="0.2">
      <c r="A40" s="1">
        <v>45337</v>
      </c>
      <c r="B40" s="2">
        <v>6</v>
      </c>
      <c r="C40" s="2">
        <v>24.83</v>
      </c>
      <c r="D40" s="2">
        <v>149</v>
      </c>
    </row>
    <row r="41" spans="1:4" x14ac:dyDescent="0.2">
      <c r="A41" s="1">
        <v>45338</v>
      </c>
      <c r="B41" s="2">
        <v>6</v>
      </c>
      <c r="C41" s="2">
        <v>24.83</v>
      </c>
      <c r="D41" s="2">
        <v>149</v>
      </c>
    </row>
    <row r="42" spans="1:4" x14ac:dyDescent="0.2">
      <c r="A42" s="1">
        <v>45339</v>
      </c>
      <c r="B42" s="2">
        <v>6</v>
      </c>
      <c r="C42" s="2">
        <v>26.67</v>
      </c>
      <c r="D42" s="2">
        <v>160</v>
      </c>
    </row>
    <row r="43" spans="1:4" x14ac:dyDescent="0.2">
      <c r="A43" s="1">
        <v>45341</v>
      </c>
      <c r="B43" s="2">
        <v>6</v>
      </c>
      <c r="C43" s="2">
        <v>26.5</v>
      </c>
      <c r="D43" s="2">
        <v>159</v>
      </c>
    </row>
    <row r="44" spans="1:4" x14ac:dyDescent="0.2">
      <c r="A44" s="1">
        <v>45342</v>
      </c>
      <c r="B44" s="2">
        <v>6</v>
      </c>
      <c r="C44" s="2">
        <v>28</v>
      </c>
      <c r="D44" s="2">
        <v>168</v>
      </c>
    </row>
    <row r="45" spans="1:4" x14ac:dyDescent="0.2">
      <c r="A45" s="1">
        <v>45343</v>
      </c>
      <c r="B45" s="2">
        <v>6</v>
      </c>
      <c r="C45" s="2">
        <v>24.83</v>
      </c>
      <c r="D45" s="2">
        <v>149</v>
      </c>
    </row>
    <row r="46" spans="1:4" x14ac:dyDescent="0.2">
      <c r="A46" s="1">
        <v>45344</v>
      </c>
      <c r="B46" s="2">
        <v>6</v>
      </c>
      <c r="C46" s="2">
        <v>26.17</v>
      </c>
      <c r="D46" s="2">
        <v>157</v>
      </c>
    </row>
    <row r="47" spans="1:4" x14ac:dyDescent="0.2">
      <c r="A47" s="1">
        <v>45345</v>
      </c>
      <c r="B47" s="2">
        <v>6</v>
      </c>
      <c r="C47" s="2">
        <v>25.33</v>
      </c>
      <c r="D47" s="2">
        <v>152</v>
      </c>
    </row>
    <row r="48" spans="1:4" x14ac:dyDescent="0.2">
      <c r="A48" s="1">
        <v>45346</v>
      </c>
      <c r="B48" s="2">
        <v>6</v>
      </c>
      <c r="C48" s="2">
        <v>25.17</v>
      </c>
      <c r="D48" s="2">
        <v>151</v>
      </c>
    </row>
    <row r="49" spans="1:4" x14ac:dyDescent="0.2">
      <c r="A49" s="1">
        <v>45348</v>
      </c>
      <c r="B49" s="2">
        <v>6</v>
      </c>
      <c r="C49" s="2">
        <v>28.33</v>
      </c>
      <c r="D49" s="2">
        <v>170</v>
      </c>
    </row>
    <row r="50" spans="1:4" x14ac:dyDescent="0.2">
      <c r="A50" s="1">
        <v>45349</v>
      </c>
      <c r="B50" s="2">
        <v>6</v>
      </c>
      <c r="C50" s="2">
        <v>26.33</v>
      </c>
      <c r="D50" s="2">
        <v>158</v>
      </c>
    </row>
    <row r="51" spans="1:4" x14ac:dyDescent="0.2">
      <c r="A51" s="1">
        <v>45350</v>
      </c>
      <c r="B51" s="2">
        <v>6</v>
      </c>
      <c r="C51" s="2">
        <v>25.5</v>
      </c>
      <c r="D51" s="2">
        <v>153</v>
      </c>
    </row>
    <row r="52" spans="1:4" x14ac:dyDescent="0.2">
      <c r="A52" s="1">
        <v>45351</v>
      </c>
      <c r="B52" s="2">
        <v>6</v>
      </c>
      <c r="C52" s="2">
        <v>25</v>
      </c>
      <c r="D52" s="2">
        <v>150</v>
      </c>
    </row>
    <row r="53" spans="1:4" x14ac:dyDescent="0.2">
      <c r="A53" s="1">
        <v>45352</v>
      </c>
      <c r="B53" s="2">
        <v>6</v>
      </c>
      <c r="C53" s="2">
        <v>27.17</v>
      </c>
      <c r="D53" s="2">
        <v>163</v>
      </c>
    </row>
    <row r="54" spans="1:4" x14ac:dyDescent="0.2">
      <c r="A54" s="1">
        <v>45353</v>
      </c>
      <c r="B54" s="2">
        <v>6</v>
      </c>
      <c r="C54" s="2">
        <v>26.83</v>
      </c>
      <c r="D54" s="2">
        <v>161</v>
      </c>
    </row>
    <row r="55" spans="1:4" x14ac:dyDescent="0.2">
      <c r="A55" s="1">
        <v>45355</v>
      </c>
      <c r="B55" s="2">
        <v>6</v>
      </c>
      <c r="C55" s="2">
        <v>28</v>
      </c>
      <c r="D55" s="2">
        <v>168</v>
      </c>
    </row>
    <row r="56" spans="1:4" x14ac:dyDescent="0.2">
      <c r="A56" s="1">
        <v>45356</v>
      </c>
      <c r="B56" s="2">
        <v>6</v>
      </c>
      <c r="C56" s="2">
        <v>26.67</v>
      </c>
      <c r="D56" s="2">
        <v>160</v>
      </c>
    </row>
    <row r="57" spans="1:4" x14ac:dyDescent="0.2">
      <c r="A57" s="1">
        <v>45357</v>
      </c>
      <c r="B57" s="2">
        <v>6</v>
      </c>
      <c r="C57" s="2">
        <v>26.67</v>
      </c>
      <c r="D57" s="2">
        <v>160</v>
      </c>
    </row>
    <row r="58" spans="1:4" x14ac:dyDescent="0.2">
      <c r="A58" s="1">
        <v>45358</v>
      </c>
      <c r="B58" s="2">
        <v>6</v>
      </c>
      <c r="C58" s="2">
        <v>26.67</v>
      </c>
      <c r="D58" s="2">
        <v>160</v>
      </c>
    </row>
    <row r="59" spans="1:4" x14ac:dyDescent="0.2">
      <c r="A59" s="1">
        <v>45359</v>
      </c>
      <c r="B59" s="2">
        <v>6</v>
      </c>
      <c r="C59" s="2">
        <v>26</v>
      </c>
      <c r="D59" s="2">
        <v>156</v>
      </c>
    </row>
    <row r="60" spans="1:4" x14ac:dyDescent="0.2">
      <c r="A60" s="1">
        <v>45360</v>
      </c>
      <c r="B60" s="2">
        <v>6</v>
      </c>
      <c r="C60" s="2">
        <v>26.17</v>
      </c>
      <c r="D60" s="2">
        <v>157</v>
      </c>
    </row>
    <row r="61" spans="1:4" x14ac:dyDescent="0.2">
      <c r="A61" s="1">
        <v>45362</v>
      </c>
      <c r="B61" s="2">
        <v>6</v>
      </c>
      <c r="C61" s="2">
        <v>27.67</v>
      </c>
      <c r="D61" s="2">
        <v>166</v>
      </c>
    </row>
    <row r="62" spans="1:4" x14ac:dyDescent="0.2">
      <c r="A62" s="1">
        <v>45363</v>
      </c>
      <c r="B62" s="2">
        <v>6</v>
      </c>
      <c r="C62" s="2">
        <v>26.17</v>
      </c>
      <c r="D62" s="2">
        <v>157</v>
      </c>
    </row>
    <row r="63" spans="1:4" x14ac:dyDescent="0.2">
      <c r="A63" s="1">
        <v>45364</v>
      </c>
      <c r="B63" s="2">
        <v>6</v>
      </c>
      <c r="C63" s="2">
        <v>26.83</v>
      </c>
      <c r="D63" s="2">
        <v>161</v>
      </c>
    </row>
    <row r="64" spans="1:4" x14ac:dyDescent="0.2">
      <c r="A64" s="1">
        <v>45365</v>
      </c>
      <c r="B64" s="2">
        <v>6</v>
      </c>
      <c r="C64" s="2">
        <v>26.67</v>
      </c>
      <c r="D64" s="2">
        <v>160</v>
      </c>
    </row>
    <row r="65" spans="1:4" x14ac:dyDescent="0.2">
      <c r="A65" s="1">
        <v>45366</v>
      </c>
      <c r="B65" s="2">
        <v>6</v>
      </c>
      <c r="C65" s="2">
        <v>27</v>
      </c>
      <c r="D65" s="2">
        <v>162</v>
      </c>
    </row>
    <row r="66" spans="1:4" x14ac:dyDescent="0.2">
      <c r="A66" s="1">
        <v>45367</v>
      </c>
      <c r="B66" s="2">
        <v>6</v>
      </c>
      <c r="C66" s="2">
        <v>27.17</v>
      </c>
      <c r="D66" s="2">
        <v>163</v>
      </c>
    </row>
    <row r="67" spans="1:4" x14ac:dyDescent="0.2">
      <c r="A67" s="1">
        <v>45369</v>
      </c>
      <c r="B67" s="2">
        <v>6</v>
      </c>
      <c r="C67" s="2">
        <v>28.33</v>
      </c>
      <c r="D67" s="2">
        <v>170</v>
      </c>
    </row>
    <row r="68" spans="1:4" x14ac:dyDescent="0.2">
      <c r="A68" s="1">
        <v>45370</v>
      </c>
      <c r="B68" s="2">
        <v>6</v>
      </c>
      <c r="C68" s="2">
        <v>27.17</v>
      </c>
      <c r="D68" s="2">
        <v>163</v>
      </c>
    </row>
    <row r="69" spans="1:4" x14ac:dyDescent="0.2">
      <c r="A69" s="1">
        <v>45371</v>
      </c>
      <c r="B69" s="2">
        <v>6</v>
      </c>
      <c r="C69" s="2">
        <v>27</v>
      </c>
      <c r="D69" s="2">
        <v>162</v>
      </c>
    </row>
    <row r="70" spans="1:4" x14ac:dyDescent="0.2">
      <c r="A70" s="1">
        <v>45372</v>
      </c>
      <c r="B70" s="2">
        <v>6</v>
      </c>
      <c r="C70" s="2">
        <v>26.33</v>
      </c>
      <c r="D70" s="2">
        <v>158</v>
      </c>
    </row>
    <row r="71" spans="1:4" x14ac:dyDescent="0.2">
      <c r="A71" s="1">
        <v>45373</v>
      </c>
      <c r="B71" s="2">
        <v>6</v>
      </c>
      <c r="C71" s="2">
        <v>27.33</v>
      </c>
      <c r="D71" s="2">
        <v>164</v>
      </c>
    </row>
    <row r="72" spans="1:4" x14ac:dyDescent="0.2">
      <c r="A72" s="1">
        <v>45374</v>
      </c>
      <c r="B72" s="2">
        <v>6</v>
      </c>
      <c r="C72" s="2">
        <v>27.83</v>
      </c>
      <c r="D72" s="2">
        <v>167</v>
      </c>
    </row>
    <row r="73" spans="1:4" x14ac:dyDescent="0.2">
      <c r="A73" s="1">
        <v>45376</v>
      </c>
      <c r="B73" s="2">
        <v>6</v>
      </c>
      <c r="C73" s="2">
        <v>27.67</v>
      </c>
      <c r="D73" s="2">
        <v>166</v>
      </c>
    </row>
    <row r="74" spans="1:4" x14ac:dyDescent="0.2">
      <c r="A74" s="1">
        <v>45377</v>
      </c>
      <c r="B74" s="2">
        <v>6</v>
      </c>
      <c r="C74" s="2">
        <v>27.33</v>
      </c>
      <c r="D74" s="2">
        <v>164</v>
      </c>
    </row>
    <row r="75" spans="1:4" x14ac:dyDescent="0.2">
      <c r="A75" s="1">
        <v>45378</v>
      </c>
      <c r="B75" s="2">
        <v>6</v>
      </c>
      <c r="C75" s="2">
        <v>26.33</v>
      </c>
      <c r="D75" s="2">
        <v>158</v>
      </c>
    </row>
    <row r="76" spans="1:4" x14ac:dyDescent="0.2">
      <c r="A76" s="1">
        <v>45379</v>
      </c>
      <c r="B76" s="2">
        <v>6</v>
      </c>
      <c r="C76" s="2">
        <v>26.33</v>
      </c>
      <c r="D76" s="2">
        <v>158</v>
      </c>
    </row>
    <row r="77" spans="1:4" x14ac:dyDescent="0.2">
      <c r="A77" s="1">
        <v>45380</v>
      </c>
      <c r="B77" s="2">
        <v>6</v>
      </c>
      <c r="C77" s="2">
        <v>28.33</v>
      </c>
      <c r="D77" s="2">
        <v>170</v>
      </c>
    </row>
    <row r="78" spans="1:4" x14ac:dyDescent="0.2">
      <c r="A78" s="1">
        <v>45381</v>
      </c>
      <c r="B78" s="2">
        <v>6</v>
      </c>
      <c r="C78" s="2">
        <v>27.83</v>
      </c>
      <c r="D78" s="2">
        <v>167</v>
      </c>
    </row>
    <row r="79" spans="1:4" x14ac:dyDescent="0.2">
      <c r="A79" s="1">
        <v>45384</v>
      </c>
      <c r="B79" s="2">
        <v>6</v>
      </c>
      <c r="C79" s="2">
        <v>28.17</v>
      </c>
      <c r="D79" s="2">
        <v>169</v>
      </c>
    </row>
    <row r="80" spans="1:4" x14ac:dyDescent="0.2">
      <c r="A80" s="1">
        <v>45385</v>
      </c>
      <c r="B80" s="2">
        <v>6</v>
      </c>
      <c r="C80" s="2">
        <v>28.5</v>
      </c>
      <c r="D80" s="2">
        <v>171</v>
      </c>
    </row>
    <row r="81" spans="1:4" x14ac:dyDescent="0.2">
      <c r="A81" s="1">
        <v>45386</v>
      </c>
      <c r="B81" s="2">
        <v>6</v>
      </c>
      <c r="C81" s="2">
        <v>27.67</v>
      </c>
      <c r="D81" s="2">
        <v>166</v>
      </c>
    </row>
    <row r="82" spans="1:4" x14ac:dyDescent="0.2">
      <c r="A82" s="1">
        <v>45387</v>
      </c>
      <c r="B82" s="2">
        <v>6</v>
      </c>
      <c r="C82" s="2">
        <v>25.67</v>
      </c>
      <c r="D82" s="2">
        <v>154</v>
      </c>
    </row>
    <row r="83" spans="1:4" x14ac:dyDescent="0.2">
      <c r="A83" s="1">
        <v>45388</v>
      </c>
      <c r="B83" s="2">
        <v>6</v>
      </c>
      <c r="C83" s="2">
        <v>30.17</v>
      </c>
      <c r="D83" s="2">
        <v>181</v>
      </c>
    </row>
    <row r="84" spans="1:4" x14ac:dyDescent="0.2">
      <c r="A84" s="1">
        <v>45390</v>
      </c>
      <c r="B84" s="2">
        <v>6</v>
      </c>
      <c r="C84" s="2">
        <v>28</v>
      </c>
      <c r="D84" s="2">
        <v>168</v>
      </c>
    </row>
    <row r="85" spans="1:4" x14ac:dyDescent="0.2">
      <c r="A85" s="1">
        <v>45391</v>
      </c>
      <c r="B85" s="2">
        <v>6</v>
      </c>
      <c r="C85" s="2">
        <v>24.5</v>
      </c>
      <c r="D85" s="2">
        <v>147</v>
      </c>
    </row>
    <row r="86" spans="1:4" x14ac:dyDescent="0.2">
      <c r="A86" s="1">
        <v>45392</v>
      </c>
      <c r="B86" s="2">
        <v>6</v>
      </c>
      <c r="C86" s="2">
        <v>27.67</v>
      </c>
      <c r="D86" s="2">
        <v>166</v>
      </c>
    </row>
    <row r="87" spans="1:4" x14ac:dyDescent="0.2">
      <c r="A87" s="1">
        <v>45393</v>
      </c>
      <c r="B87" s="2">
        <v>6</v>
      </c>
      <c r="C87" s="2">
        <v>25.67</v>
      </c>
      <c r="D87" s="2">
        <v>154</v>
      </c>
    </row>
    <row r="88" spans="1:4" x14ac:dyDescent="0.2">
      <c r="A88" s="1">
        <v>45394</v>
      </c>
      <c r="B88" s="2">
        <v>6</v>
      </c>
      <c r="C88" s="2">
        <v>24.33</v>
      </c>
      <c r="D88" s="2">
        <v>146</v>
      </c>
    </row>
    <row r="89" spans="1:4" x14ac:dyDescent="0.2">
      <c r="A89" s="1">
        <v>45395</v>
      </c>
      <c r="B89" s="2">
        <v>6</v>
      </c>
      <c r="C89" s="2">
        <v>26.83</v>
      </c>
      <c r="D89" s="2">
        <v>161</v>
      </c>
    </row>
    <row r="90" spans="1:4" x14ac:dyDescent="0.2">
      <c r="A90" s="1">
        <v>45397</v>
      </c>
      <c r="B90" s="2">
        <v>6</v>
      </c>
      <c r="C90" s="2">
        <v>26.33</v>
      </c>
      <c r="D90" s="2">
        <v>158</v>
      </c>
    </row>
    <row r="91" spans="1:4" x14ac:dyDescent="0.2">
      <c r="A91" s="1">
        <v>45398</v>
      </c>
      <c r="B91" s="2">
        <v>6</v>
      </c>
      <c r="C91" s="2">
        <v>25.33</v>
      </c>
      <c r="D91" s="2">
        <v>152</v>
      </c>
    </row>
    <row r="92" spans="1:4" x14ac:dyDescent="0.2">
      <c r="A92" s="1">
        <v>45399</v>
      </c>
      <c r="B92" s="2">
        <v>6</v>
      </c>
      <c r="C92" s="2">
        <v>27.17</v>
      </c>
      <c r="D92" s="2">
        <v>163</v>
      </c>
    </row>
    <row r="93" spans="1:4" x14ac:dyDescent="0.2">
      <c r="A93" s="1">
        <v>45400</v>
      </c>
      <c r="B93" s="2">
        <v>6</v>
      </c>
      <c r="C93" s="2">
        <v>24.67</v>
      </c>
      <c r="D93" s="2">
        <v>148</v>
      </c>
    </row>
    <row r="94" spans="1:4" x14ac:dyDescent="0.2">
      <c r="A94" s="1">
        <v>45401</v>
      </c>
      <c r="B94" s="2">
        <v>6</v>
      </c>
      <c r="C94" s="2">
        <v>26.5</v>
      </c>
      <c r="D94" s="2">
        <v>159</v>
      </c>
    </row>
    <row r="95" spans="1:4" x14ac:dyDescent="0.2">
      <c r="A95" s="1">
        <v>45402</v>
      </c>
      <c r="B95" s="2">
        <v>6</v>
      </c>
      <c r="C95" s="2">
        <v>27.5</v>
      </c>
      <c r="D95" s="2">
        <v>165</v>
      </c>
    </row>
    <row r="96" spans="1:4" x14ac:dyDescent="0.2">
      <c r="A96" s="1">
        <v>45404</v>
      </c>
      <c r="B96" s="2">
        <v>6</v>
      </c>
      <c r="C96" s="2">
        <v>27.33</v>
      </c>
      <c r="D96" s="2">
        <v>164</v>
      </c>
    </row>
    <row r="97" spans="1:4" x14ac:dyDescent="0.2">
      <c r="A97" s="1">
        <v>45405</v>
      </c>
      <c r="B97" s="2">
        <v>6</v>
      </c>
      <c r="C97" s="2">
        <v>28</v>
      </c>
      <c r="D97" s="2">
        <v>168</v>
      </c>
    </row>
    <row r="98" spans="1:4" x14ac:dyDescent="0.2">
      <c r="A98" s="1">
        <v>45406</v>
      </c>
      <c r="B98" s="2">
        <v>6</v>
      </c>
      <c r="C98" s="2">
        <v>27.5</v>
      </c>
      <c r="D98" s="2">
        <v>165</v>
      </c>
    </row>
    <row r="99" spans="1:4" x14ac:dyDescent="0.2">
      <c r="A99" s="1">
        <v>45407</v>
      </c>
      <c r="B99" s="2">
        <v>6</v>
      </c>
      <c r="C99" s="2">
        <v>27.83</v>
      </c>
      <c r="D99" s="2">
        <v>167</v>
      </c>
    </row>
    <row r="100" spans="1:4" x14ac:dyDescent="0.2">
      <c r="A100" s="1">
        <v>45408</v>
      </c>
      <c r="B100" s="2">
        <v>6</v>
      </c>
      <c r="C100" s="2">
        <v>28.17</v>
      </c>
      <c r="D100" s="2">
        <v>169</v>
      </c>
    </row>
    <row r="101" spans="1:4" x14ac:dyDescent="0.2">
      <c r="A101" s="1">
        <v>45411</v>
      </c>
      <c r="B101" s="2">
        <v>6</v>
      </c>
      <c r="C101" s="2">
        <v>27.33</v>
      </c>
      <c r="D101" s="2">
        <v>164</v>
      </c>
    </row>
    <row r="102" spans="1:4" x14ac:dyDescent="0.2">
      <c r="A102" s="1">
        <v>45412</v>
      </c>
      <c r="B102" s="2">
        <v>6</v>
      </c>
      <c r="C102" s="2">
        <v>27.67</v>
      </c>
      <c r="D102" s="2">
        <v>166</v>
      </c>
    </row>
    <row r="103" spans="1:4" x14ac:dyDescent="0.2">
      <c r="A103" s="1">
        <v>45413</v>
      </c>
      <c r="B103" s="2">
        <v>6</v>
      </c>
      <c r="C103" s="2">
        <v>27.5</v>
      </c>
      <c r="D103" s="2">
        <v>165</v>
      </c>
    </row>
    <row r="104" spans="1:4" x14ac:dyDescent="0.2">
      <c r="A104" s="1">
        <v>45414</v>
      </c>
      <c r="B104" s="2">
        <v>6</v>
      </c>
      <c r="C104" s="2">
        <v>26.83</v>
      </c>
      <c r="D104" s="2">
        <v>161</v>
      </c>
    </row>
    <row r="105" spans="1:4" x14ac:dyDescent="0.2">
      <c r="A105" s="1">
        <v>45415</v>
      </c>
      <c r="B105" s="2">
        <v>5</v>
      </c>
      <c r="C105" s="2">
        <v>28.4</v>
      </c>
      <c r="D105" s="2">
        <v>142</v>
      </c>
    </row>
    <row r="106" spans="1:4" x14ac:dyDescent="0.2">
      <c r="A106" s="1">
        <v>45416</v>
      </c>
      <c r="B106" s="2">
        <v>4</v>
      </c>
      <c r="C106" s="2">
        <v>26.5</v>
      </c>
      <c r="D106" s="2">
        <v>106</v>
      </c>
    </row>
    <row r="107" spans="1:4" x14ac:dyDescent="0.2">
      <c r="A107" s="1">
        <v>45418</v>
      </c>
      <c r="B107" s="2">
        <v>3</v>
      </c>
      <c r="C107" s="2">
        <v>26.67</v>
      </c>
      <c r="D107" s="2">
        <v>80</v>
      </c>
    </row>
    <row r="108" spans="1:4" x14ac:dyDescent="0.2">
      <c r="A108" s="1">
        <v>45419</v>
      </c>
      <c r="B108" s="2">
        <v>5</v>
      </c>
      <c r="C108" s="2">
        <v>27.8</v>
      </c>
      <c r="D108" s="2">
        <v>139</v>
      </c>
    </row>
    <row r="109" spans="1:4" x14ac:dyDescent="0.2">
      <c r="A109" s="1">
        <v>45420</v>
      </c>
      <c r="B109" s="2">
        <v>5</v>
      </c>
      <c r="C109" s="2">
        <v>26.8</v>
      </c>
      <c r="D109" s="2">
        <v>134</v>
      </c>
    </row>
    <row r="110" spans="1:4" x14ac:dyDescent="0.2">
      <c r="A110" s="1">
        <v>45422</v>
      </c>
      <c r="B110" s="2">
        <v>6</v>
      </c>
      <c r="C110" s="2">
        <v>25.33</v>
      </c>
      <c r="D110" s="2">
        <v>152</v>
      </c>
    </row>
    <row r="111" spans="1:4" x14ac:dyDescent="0.2">
      <c r="A111" s="1">
        <v>45423</v>
      </c>
      <c r="B111" s="2">
        <v>6</v>
      </c>
      <c r="C111" s="2">
        <v>27.33</v>
      </c>
      <c r="D111" s="2">
        <v>164</v>
      </c>
    </row>
    <row r="112" spans="1:4" x14ac:dyDescent="0.2">
      <c r="A112" s="1">
        <v>45425</v>
      </c>
      <c r="B112" s="2">
        <v>4</v>
      </c>
      <c r="C112" s="2">
        <v>26.75</v>
      </c>
      <c r="D112" s="2">
        <v>107</v>
      </c>
    </row>
    <row r="113" spans="1:4" x14ac:dyDescent="0.2">
      <c r="A113" s="1">
        <v>45426</v>
      </c>
      <c r="B113" s="2">
        <v>6</v>
      </c>
      <c r="C113" s="2">
        <v>28.17</v>
      </c>
      <c r="D113" s="2">
        <v>169</v>
      </c>
    </row>
    <row r="114" spans="1:4" x14ac:dyDescent="0.2">
      <c r="A114" s="1">
        <v>45427</v>
      </c>
      <c r="B114" s="2">
        <v>6</v>
      </c>
      <c r="C114" s="2">
        <v>27</v>
      </c>
      <c r="D114" s="2">
        <v>162</v>
      </c>
    </row>
    <row r="115" spans="1:4" x14ac:dyDescent="0.2">
      <c r="A115" s="1">
        <v>45428</v>
      </c>
      <c r="B115" s="2">
        <v>4</v>
      </c>
      <c r="C115" s="2">
        <v>27</v>
      </c>
      <c r="D115" s="2">
        <v>108</v>
      </c>
    </row>
    <row r="116" spans="1:4" x14ac:dyDescent="0.2">
      <c r="A116" s="1">
        <v>45429</v>
      </c>
      <c r="B116" s="2">
        <v>6</v>
      </c>
      <c r="C116" s="2">
        <v>26.5</v>
      </c>
      <c r="D116" s="2">
        <v>159</v>
      </c>
    </row>
    <row r="117" spans="1:4" x14ac:dyDescent="0.2">
      <c r="A117" s="1">
        <v>45430</v>
      </c>
      <c r="B117" s="2">
        <v>6</v>
      </c>
      <c r="C117" s="2">
        <v>26</v>
      </c>
      <c r="D117" s="2">
        <v>156</v>
      </c>
    </row>
    <row r="118" spans="1:4" x14ac:dyDescent="0.2">
      <c r="A118" s="1">
        <v>45433</v>
      </c>
      <c r="B118" s="2">
        <v>6</v>
      </c>
      <c r="C118" s="2">
        <v>28.33</v>
      </c>
      <c r="D118" s="2">
        <v>170</v>
      </c>
    </row>
    <row r="119" spans="1:4" x14ac:dyDescent="0.2">
      <c r="A119" s="1">
        <v>45434</v>
      </c>
      <c r="B119" s="2">
        <v>5</v>
      </c>
      <c r="C119" s="2">
        <v>26.4</v>
      </c>
      <c r="D119" s="2">
        <v>132</v>
      </c>
    </row>
    <row r="120" spans="1:4" x14ac:dyDescent="0.2">
      <c r="A120" s="1">
        <v>45435</v>
      </c>
      <c r="B120" s="2">
        <v>3</v>
      </c>
      <c r="C120" s="2">
        <v>27.67</v>
      </c>
      <c r="D120" s="2">
        <v>83</v>
      </c>
    </row>
    <row r="121" spans="1:4" x14ac:dyDescent="0.2">
      <c r="A121" s="1">
        <v>45436</v>
      </c>
      <c r="B121" s="2">
        <v>6</v>
      </c>
      <c r="C121" s="2">
        <v>28.33</v>
      </c>
      <c r="D121" s="2">
        <v>170</v>
      </c>
    </row>
    <row r="122" spans="1:4" x14ac:dyDescent="0.2">
      <c r="A122" s="1">
        <v>45437</v>
      </c>
      <c r="B122" s="2">
        <v>5</v>
      </c>
      <c r="C122" s="2">
        <v>26.4</v>
      </c>
      <c r="D122" s="2">
        <v>132</v>
      </c>
    </row>
    <row r="123" spans="1:4" x14ac:dyDescent="0.2">
      <c r="A123" s="1">
        <v>45439</v>
      </c>
      <c r="B123" s="2">
        <v>6</v>
      </c>
      <c r="C123" s="2">
        <v>28</v>
      </c>
      <c r="D123" s="2">
        <v>168</v>
      </c>
    </row>
    <row r="124" spans="1:4" x14ac:dyDescent="0.2">
      <c r="A124" s="1">
        <v>45440</v>
      </c>
      <c r="B124" s="2">
        <v>2</v>
      </c>
      <c r="C124" s="2">
        <v>27.5</v>
      </c>
      <c r="D124" s="2">
        <v>55</v>
      </c>
    </row>
    <row r="125" spans="1:4" x14ac:dyDescent="0.2">
      <c r="A125" s="1">
        <v>45441</v>
      </c>
      <c r="B125" s="2">
        <v>6</v>
      </c>
      <c r="C125" s="2">
        <v>27</v>
      </c>
      <c r="D125" s="2">
        <v>162</v>
      </c>
    </row>
    <row r="126" spans="1:4" x14ac:dyDescent="0.2">
      <c r="A126" s="1">
        <v>45442</v>
      </c>
      <c r="B126" s="2">
        <v>3</v>
      </c>
      <c r="C126" s="2">
        <v>29.33</v>
      </c>
      <c r="D126" s="2">
        <v>88</v>
      </c>
    </row>
    <row r="127" spans="1:4" x14ac:dyDescent="0.2">
      <c r="A127" s="1">
        <v>45443</v>
      </c>
      <c r="B127" s="2">
        <v>3</v>
      </c>
      <c r="C127" s="2">
        <v>27</v>
      </c>
      <c r="D127" s="2">
        <v>81</v>
      </c>
    </row>
    <row r="128" spans="1:4" x14ac:dyDescent="0.2">
      <c r="A128" s="1">
        <v>45444</v>
      </c>
      <c r="B128" s="2">
        <v>4</v>
      </c>
      <c r="C128" s="2">
        <v>28.25</v>
      </c>
      <c r="D128" s="2">
        <v>113</v>
      </c>
    </row>
    <row r="129" spans="1:4" x14ac:dyDescent="0.2">
      <c r="A129" s="1">
        <v>45446</v>
      </c>
      <c r="B129" s="2">
        <v>6</v>
      </c>
      <c r="C129" s="2">
        <v>26.83</v>
      </c>
      <c r="D129" s="2">
        <v>161</v>
      </c>
    </row>
    <row r="130" spans="1:4" x14ac:dyDescent="0.2">
      <c r="A130" s="1">
        <v>45447</v>
      </c>
      <c r="B130" s="2">
        <v>4</v>
      </c>
      <c r="C130" s="2">
        <v>25.25</v>
      </c>
      <c r="D130" s="2">
        <v>101</v>
      </c>
    </row>
    <row r="131" spans="1:4" x14ac:dyDescent="0.2">
      <c r="A131" s="1">
        <v>45448</v>
      </c>
      <c r="B131" s="2">
        <v>2</v>
      </c>
      <c r="C131" s="2">
        <v>25.5</v>
      </c>
      <c r="D131" s="2">
        <v>51</v>
      </c>
    </row>
    <row r="132" spans="1:4" x14ac:dyDescent="0.2">
      <c r="A132" s="1">
        <v>45449</v>
      </c>
      <c r="B132" s="2">
        <v>4</v>
      </c>
      <c r="C132" s="2">
        <v>28.5</v>
      </c>
      <c r="D132" s="2">
        <v>114</v>
      </c>
    </row>
    <row r="133" spans="1:4" x14ac:dyDescent="0.2">
      <c r="A133" s="1">
        <v>45450</v>
      </c>
      <c r="B133" s="2">
        <v>4</v>
      </c>
      <c r="C133" s="2">
        <v>27.5</v>
      </c>
      <c r="D133" s="2">
        <v>110</v>
      </c>
    </row>
    <row r="134" spans="1:4" x14ac:dyDescent="0.2">
      <c r="A134" s="1">
        <v>45451</v>
      </c>
      <c r="B134" s="2">
        <v>4</v>
      </c>
      <c r="C134" s="2">
        <v>29</v>
      </c>
      <c r="D134" s="2">
        <v>116</v>
      </c>
    </row>
    <row r="135" spans="1:4" x14ac:dyDescent="0.2">
      <c r="A135" s="1">
        <v>45453</v>
      </c>
      <c r="B135" s="2">
        <v>5</v>
      </c>
      <c r="C135" s="2">
        <v>26.4</v>
      </c>
      <c r="D135" s="2">
        <v>132</v>
      </c>
    </row>
    <row r="136" spans="1:4" x14ac:dyDescent="0.2">
      <c r="A136" s="1">
        <v>45454</v>
      </c>
      <c r="B136" s="2">
        <v>6</v>
      </c>
      <c r="C136" s="2">
        <v>25.83</v>
      </c>
      <c r="D136" s="2">
        <v>155</v>
      </c>
    </row>
    <row r="137" spans="1:4" x14ac:dyDescent="0.2">
      <c r="A137" s="1">
        <v>45455</v>
      </c>
      <c r="B137" s="2">
        <v>3</v>
      </c>
      <c r="C137" s="2">
        <v>25.33</v>
      </c>
      <c r="D137" s="2">
        <v>76</v>
      </c>
    </row>
    <row r="138" spans="1:4" x14ac:dyDescent="0.2">
      <c r="A138" s="1">
        <v>45456</v>
      </c>
      <c r="B138" s="2">
        <v>5</v>
      </c>
      <c r="C138" s="2">
        <v>26.6</v>
      </c>
      <c r="D138" s="2">
        <v>133</v>
      </c>
    </row>
    <row r="139" spans="1:4" x14ac:dyDescent="0.2">
      <c r="A139" s="1">
        <v>45457</v>
      </c>
      <c r="B139" s="2">
        <v>4</v>
      </c>
      <c r="C139" s="2">
        <v>27.75</v>
      </c>
      <c r="D139" s="2">
        <v>111</v>
      </c>
    </row>
    <row r="140" spans="1:4" x14ac:dyDescent="0.2">
      <c r="A140" s="1">
        <v>45458</v>
      </c>
      <c r="B140" s="2">
        <v>3</v>
      </c>
      <c r="C140" s="2">
        <v>29.33</v>
      </c>
      <c r="D140" s="2">
        <v>88</v>
      </c>
    </row>
    <row r="141" spans="1:4" x14ac:dyDescent="0.2">
      <c r="A141" s="1">
        <v>45460</v>
      </c>
      <c r="B141" s="2">
        <v>4</v>
      </c>
      <c r="C141" s="2">
        <v>24.5</v>
      </c>
      <c r="D141" s="2">
        <v>98</v>
      </c>
    </row>
    <row r="142" spans="1:4" x14ac:dyDescent="0.2">
      <c r="A142" s="1">
        <v>45461</v>
      </c>
      <c r="B142" s="2">
        <v>6</v>
      </c>
      <c r="C142" s="2">
        <v>26.67</v>
      </c>
      <c r="D142" s="2">
        <v>160</v>
      </c>
    </row>
    <row r="143" spans="1:4" x14ac:dyDescent="0.2">
      <c r="A143" s="1">
        <v>45462</v>
      </c>
      <c r="B143" s="2">
        <v>3</v>
      </c>
      <c r="C143" s="2">
        <v>27</v>
      </c>
      <c r="D143" s="2">
        <v>81</v>
      </c>
    </row>
    <row r="144" spans="1:4" x14ac:dyDescent="0.2">
      <c r="A144" s="1">
        <v>45463</v>
      </c>
      <c r="B144" s="2">
        <v>5</v>
      </c>
      <c r="C144" s="2">
        <v>25.8</v>
      </c>
      <c r="D144" s="2">
        <v>129</v>
      </c>
    </row>
    <row r="145" spans="1:4" x14ac:dyDescent="0.2">
      <c r="A145" s="1">
        <v>45464</v>
      </c>
      <c r="B145" s="2">
        <v>6</v>
      </c>
      <c r="C145" s="2">
        <v>28.5</v>
      </c>
      <c r="D145" s="2">
        <v>171</v>
      </c>
    </row>
    <row r="146" spans="1:4" x14ac:dyDescent="0.2">
      <c r="A146" s="1">
        <v>45465</v>
      </c>
      <c r="B146" s="2">
        <v>6</v>
      </c>
      <c r="C146" s="2">
        <v>28</v>
      </c>
      <c r="D146" s="2">
        <v>168</v>
      </c>
    </row>
    <row r="147" spans="1:4" x14ac:dyDescent="0.2">
      <c r="A147" s="1">
        <v>45467</v>
      </c>
      <c r="B147" s="2">
        <v>6</v>
      </c>
      <c r="C147" s="2">
        <v>26.17</v>
      </c>
      <c r="D147" s="2">
        <v>157</v>
      </c>
    </row>
    <row r="148" spans="1:4" x14ac:dyDescent="0.2">
      <c r="A148" s="1">
        <v>45468</v>
      </c>
      <c r="B148" s="2">
        <v>6</v>
      </c>
      <c r="C148" s="2">
        <v>25.5</v>
      </c>
      <c r="D148" s="2">
        <v>153</v>
      </c>
    </row>
    <row r="149" spans="1:4" x14ac:dyDescent="0.2">
      <c r="A149" s="1">
        <v>45469</v>
      </c>
      <c r="B149" s="2">
        <v>2</v>
      </c>
      <c r="C149" s="2">
        <v>25</v>
      </c>
      <c r="D149" s="2">
        <v>50</v>
      </c>
    </row>
    <row r="150" spans="1:4" x14ac:dyDescent="0.2">
      <c r="A150" s="1">
        <v>45470</v>
      </c>
      <c r="B150" s="2">
        <v>4</v>
      </c>
      <c r="C150" s="2">
        <v>28.25</v>
      </c>
      <c r="D150" s="2">
        <v>113</v>
      </c>
    </row>
    <row r="151" spans="1:4" x14ac:dyDescent="0.2">
      <c r="A151" s="1">
        <v>45471</v>
      </c>
      <c r="B151" s="2">
        <v>6</v>
      </c>
      <c r="C151" s="2">
        <v>27</v>
      </c>
      <c r="D151" s="2">
        <v>162</v>
      </c>
    </row>
    <row r="152" spans="1:4" x14ac:dyDescent="0.2">
      <c r="A152" s="1">
        <v>45472</v>
      </c>
      <c r="B152" s="2">
        <v>4</v>
      </c>
      <c r="C152" s="2">
        <v>29.75</v>
      </c>
      <c r="D152" s="2">
        <v>119</v>
      </c>
    </row>
    <row r="153" spans="1:4" x14ac:dyDescent="0.2">
      <c r="A153" s="1">
        <v>45474</v>
      </c>
      <c r="B153" s="2">
        <v>4</v>
      </c>
      <c r="C153" s="2">
        <v>25.5</v>
      </c>
      <c r="D153" s="2">
        <v>102</v>
      </c>
    </row>
    <row r="154" spans="1:4" x14ac:dyDescent="0.2">
      <c r="A154" s="1">
        <v>45475</v>
      </c>
      <c r="B154" s="2">
        <v>5</v>
      </c>
      <c r="C154" s="2">
        <v>25.8</v>
      </c>
      <c r="D154" s="2">
        <v>129</v>
      </c>
    </row>
    <row r="155" spans="1:4" x14ac:dyDescent="0.2">
      <c r="A155" s="1">
        <v>45476</v>
      </c>
      <c r="B155" s="2">
        <v>5</v>
      </c>
      <c r="C155" s="2">
        <v>27</v>
      </c>
      <c r="D155" s="2">
        <v>135</v>
      </c>
    </row>
    <row r="156" spans="1:4" x14ac:dyDescent="0.2">
      <c r="A156" s="1">
        <v>45477</v>
      </c>
      <c r="B156" s="2">
        <v>4</v>
      </c>
      <c r="C156" s="2">
        <v>26.75</v>
      </c>
      <c r="D156" s="2">
        <v>107</v>
      </c>
    </row>
    <row r="157" spans="1:4" x14ac:dyDescent="0.2">
      <c r="A157" s="1">
        <v>45478</v>
      </c>
      <c r="B157" s="2">
        <v>6</v>
      </c>
      <c r="C157" s="2">
        <v>27.17</v>
      </c>
      <c r="D157" s="2">
        <v>163</v>
      </c>
    </row>
    <row r="158" spans="1:4" x14ac:dyDescent="0.2">
      <c r="A158" s="1">
        <v>45479</v>
      </c>
      <c r="B158" s="2">
        <v>6</v>
      </c>
      <c r="C158" s="2">
        <v>29</v>
      </c>
      <c r="D158" s="2">
        <v>174</v>
      </c>
    </row>
    <row r="159" spans="1:4" x14ac:dyDescent="0.2">
      <c r="A159" s="1">
        <v>45481</v>
      </c>
      <c r="B159" s="2">
        <v>2</v>
      </c>
      <c r="C159" s="2">
        <v>28</v>
      </c>
      <c r="D159" s="2">
        <v>56</v>
      </c>
    </row>
    <row r="160" spans="1:4" x14ac:dyDescent="0.2">
      <c r="A160" s="1">
        <v>45482</v>
      </c>
      <c r="B160" s="2">
        <v>5</v>
      </c>
      <c r="C160" s="2">
        <v>26</v>
      </c>
      <c r="D160" s="2">
        <v>130</v>
      </c>
    </row>
    <row r="161" spans="1:4" x14ac:dyDescent="0.2">
      <c r="A161" s="1">
        <v>45483</v>
      </c>
      <c r="B161" s="2">
        <v>6</v>
      </c>
      <c r="C161" s="2">
        <v>26</v>
      </c>
      <c r="D161" s="2">
        <v>156</v>
      </c>
    </row>
    <row r="162" spans="1:4" x14ac:dyDescent="0.2">
      <c r="A162" s="1">
        <v>45484</v>
      </c>
      <c r="B162" s="2">
        <v>2</v>
      </c>
      <c r="C162" s="2">
        <v>28.5</v>
      </c>
      <c r="D162" s="2">
        <v>57</v>
      </c>
    </row>
    <row r="163" spans="1:4" x14ac:dyDescent="0.2">
      <c r="A163" s="1">
        <v>45485</v>
      </c>
      <c r="B163" s="2">
        <v>5</v>
      </c>
      <c r="C163" s="2">
        <v>26.6</v>
      </c>
      <c r="D163" s="2">
        <v>133</v>
      </c>
    </row>
    <row r="164" spans="1:4" x14ac:dyDescent="0.2">
      <c r="A164" s="1">
        <v>45486</v>
      </c>
      <c r="B164" s="2">
        <v>6</v>
      </c>
      <c r="C164" s="2">
        <v>28.83</v>
      </c>
      <c r="D164" s="2">
        <v>173</v>
      </c>
    </row>
    <row r="165" spans="1:4" x14ac:dyDescent="0.2">
      <c r="A165" s="1">
        <v>45488</v>
      </c>
      <c r="B165" s="2">
        <v>4</v>
      </c>
      <c r="C165" s="2">
        <v>27.25</v>
      </c>
      <c r="D165" s="2">
        <v>109</v>
      </c>
    </row>
    <row r="166" spans="1:4" x14ac:dyDescent="0.2">
      <c r="A166" s="1">
        <v>45489</v>
      </c>
      <c r="B166" s="2">
        <v>5</v>
      </c>
      <c r="C166" s="2">
        <v>25.2</v>
      </c>
      <c r="D166" s="2">
        <v>126</v>
      </c>
    </row>
    <row r="167" spans="1:4" x14ac:dyDescent="0.2">
      <c r="A167" s="1">
        <v>45490</v>
      </c>
      <c r="B167" s="2">
        <v>5</v>
      </c>
      <c r="C167" s="2">
        <v>28.2</v>
      </c>
      <c r="D167" s="2">
        <v>141</v>
      </c>
    </row>
    <row r="168" spans="1:4" x14ac:dyDescent="0.2">
      <c r="A168" s="1">
        <v>45491</v>
      </c>
      <c r="B168" s="2">
        <v>5</v>
      </c>
      <c r="C168" s="2">
        <v>26.4</v>
      </c>
      <c r="D168" s="2">
        <v>132</v>
      </c>
    </row>
    <row r="169" spans="1:4" x14ac:dyDescent="0.2">
      <c r="A169" s="1">
        <v>45492</v>
      </c>
      <c r="B169" s="2">
        <v>1</v>
      </c>
      <c r="C169" s="2">
        <v>29</v>
      </c>
      <c r="D169" s="2">
        <v>29</v>
      </c>
    </row>
    <row r="170" spans="1:4" x14ac:dyDescent="0.2">
      <c r="A170" s="1">
        <v>45493</v>
      </c>
      <c r="B170" s="2">
        <v>6</v>
      </c>
      <c r="C170" s="2">
        <v>27.33</v>
      </c>
      <c r="D170" s="2">
        <v>164</v>
      </c>
    </row>
    <row r="171" spans="1:4" x14ac:dyDescent="0.2">
      <c r="A171" s="1">
        <v>45495</v>
      </c>
      <c r="B171" s="2">
        <v>4</v>
      </c>
      <c r="C171" s="2">
        <v>27.5</v>
      </c>
      <c r="D171" s="2">
        <v>110</v>
      </c>
    </row>
    <row r="172" spans="1:4" x14ac:dyDescent="0.2">
      <c r="A172" s="1">
        <v>45496</v>
      </c>
      <c r="B172" s="2">
        <v>5</v>
      </c>
      <c r="C172" s="2">
        <v>27</v>
      </c>
      <c r="D172" s="2">
        <v>135</v>
      </c>
    </row>
    <row r="173" spans="1:4" x14ac:dyDescent="0.2">
      <c r="A173" s="1">
        <v>45497</v>
      </c>
      <c r="B173" s="2">
        <v>3</v>
      </c>
      <c r="C173" s="2">
        <v>25.33</v>
      </c>
      <c r="D173" s="2">
        <v>76</v>
      </c>
    </row>
    <row r="174" spans="1:4" x14ac:dyDescent="0.2">
      <c r="A174" s="1">
        <v>45498</v>
      </c>
      <c r="B174" s="2">
        <v>6</v>
      </c>
      <c r="C174" s="2">
        <v>25.67</v>
      </c>
      <c r="D174" s="2">
        <v>154</v>
      </c>
    </row>
    <row r="175" spans="1:4" x14ac:dyDescent="0.2">
      <c r="A175" s="1">
        <v>45499</v>
      </c>
      <c r="B175" s="2">
        <v>4</v>
      </c>
      <c r="C175" s="2">
        <v>28.25</v>
      </c>
      <c r="D175" s="2">
        <v>113</v>
      </c>
    </row>
    <row r="176" spans="1:4" x14ac:dyDescent="0.2">
      <c r="A176" s="1">
        <v>45500</v>
      </c>
      <c r="B176" s="2">
        <v>6</v>
      </c>
      <c r="C176" s="2">
        <v>26</v>
      </c>
      <c r="D176" s="2">
        <v>156</v>
      </c>
    </row>
    <row r="177" spans="1:4" x14ac:dyDescent="0.2">
      <c r="A177" s="1">
        <v>45502</v>
      </c>
      <c r="B177" s="2">
        <v>5</v>
      </c>
      <c r="C177" s="2">
        <v>26.8</v>
      </c>
      <c r="D177" s="2">
        <v>134</v>
      </c>
    </row>
    <row r="178" spans="1:4" x14ac:dyDescent="0.2">
      <c r="A178" s="1">
        <v>45503</v>
      </c>
      <c r="B178" s="2">
        <v>3</v>
      </c>
      <c r="C178" s="2">
        <v>30</v>
      </c>
      <c r="D178" s="2">
        <v>90</v>
      </c>
    </row>
    <row r="179" spans="1:4" x14ac:dyDescent="0.2">
      <c r="A179" s="1">
        <v>45504</v>
      </c>
      <c r="B179" s="2">
        <v>6</v>
      </c>
      <c r="C179" s="2">
        <v>26</v>
      </c>
      <c r="D179" s="2">
        <v>156</v>
      </c>
    </row>
    <row r="180" spans="1:4" x14ac:dyDescent="0.2">
      <c r="A180" s="1">
        <v>45505</v>
      </c>
      <c r="B180" s="2">
        <v>6</v>
      </c>
      <c r="C180" s="2">
        <v>26.67</v>
      </c>
      <c r="D180" s="2">
        <v>160</v>
      </c>
    </row>
    <row r="181" spans="1:4" x14ac:dyDescent="0.2">
      <c r="A181" s="1">
        <v>45506</v>
      </c>
      <c r="B181" s="2">
        <v>5</v>
      </c>
      <c r="C181" s="2">
        <v>27.8</v>
      </c>
      <c r="D181" s="2">
        <v>139</v>
      </c>
    </row>
    <row r="182" spans="1:4" x14ac:dyDescent="0.2">
      <c r="A182" s="1">
        <v>45507</v>
      </c>
      <c r="B182" s="2">
        <v>4</v>
      </c>
      <c r="C182" s="2">
        <v>26.5</v>
      </c>
      <c r="D182" s="2">
        <v>106</v>
      </c>
    </row>
    <row r="183" spans="1:4" x14ac:dyDescent="0.2">
      <c r="A183" s="1">
        <v>45509</v>
      </c>
      <c r="B183" s="2">
        <v>6</v>
      </c>
      <c r="C183" s="2">
        <v>25.5</v>
      </c>
      <c r="D183" s="2">
        <v>153</v>
      </c>
    </row>
    <row r="184" spans="1:4" x14ac:dyDescent="0.2">
      <c r="A184" s="1">
        <v>45510</v>
      </c>
      <c r="B184" s="2">
        <v>6</v>
      </c>
      <c r="C184" s="2">
        <v>28.5</v>
      </c>
      <c r="D184" s="2">
        <v>171</v>
      </c>
    </row>
    <row r="185" spans="1:4" x14ac:dyDescent="0.2">
      <c r="A185" s="1">
        <v>45511</v>
      </c>
      <c r="B185" s="2">
        <v>6</v>
      </c>
      <c r="C185" s="2">
        <v>26</v>
      </c>
      <c r="D185" s="2">
        <v>156</v>
      </c>
    </row>
    <row r="186" spans="1:4" x14ac:dyDescent="0.2">
      <c r="A186" s="1">
        <v>45512</v>
      </c>
      <c r="B186" s="2">
        <v>6</v>
      </c>
      <c r="C186" s="2">
        <v>25.5</v>
      </c>
      <c r="D186" s="2">
        <v>153</v>
      </c>
    </row>
    <row r="187" spans="1:4" x14ac:dyDescent="0.2">
      <c r="A187" s="1">
        <v>45513</v>
      </c>
      <c r="B187" s="2">
        <v>6</v>
      </c>
      <c r="C187" s="2">
        <v>28</v>
      </c>
      <c r="D187" s="2">
        <v>168</v>
      </c>
    </row>
    <row r="188" spans="1:4" x14ac:dyDescent="0.2">
      <c r="A188" s="1">
        <v>45514</v>
      </c>
      <c r="B188" s="2">
        <v>6</v>
      </c>
      <c r="C188" s="2">
        <v>26.83</v>
      </c>
      <c r="D188" s="2">
        <v>161</v>
      </c>
    </row>
    <row r="189" spans="1:4" x14ac:dyDescent="0.2">
      <c r="A189" s="1">
        <v>45516</v>
      </c>
      <c r="B189" s="2">
        <v>6</v>
      </c>
      <c r="C189" s="2">
        <v>27.17</v>
      </c>
      <c r="D189" s="2">
        <v>163</v>
      </c>
    </row>
    <row r="190" spans="1:4" x14ac:dyDescent="0.2">
      <c r="A190" s="1">
        <v>45517</v>
      </c>
      <c r="B190" s="2">
        <v>6</v>
      </c>
      <c r="C190" s="2">
        <v>27.5</v>
      </c>
      <c r="D190" s="2">
        <v>165</v>
      </c>
    </row>
    <row r="191" spans="1:4" x14ac:dyDescent="0.2">
      <c r="A191" s="1">
        <v>45518</v>
      </c>
      <c r="B191" s="2">
        <v>6</v>
      </c>
      <c r="C191" s="2">
        <v>26.5</v>
      </c>
      <c r="D191" s="2">
        <v>159</v>
      </c>
    </row>
    <row r="192" spans="1:4" x14ac:dyDescent="0.2">
      <c r="A192" s="1">
        <v>45519</v>
      </c>
      <c r="B192" s="2">
        <v>6</v>
      </c>
      <c r="C192" s="2">
        <v>26.5</v>
      </c>
      <c r="D192" s="2">
        <v>159</v>
      </c>
    </row>
    <row r="193" spans="1:4" x14ac:dyDescent="0.2">
      <c r="A193" s="1">
        <v>45520</v>
      </c>
      <c r="B193" s="2">
        <v>6</v>
      </c>
      <c r="C193" s="2">
        <v>28</v>
      </c>
      <c r="D193" s="2">
        <v>168</v>
      </c>
    </row>
    <row r="194" spans="1:4" x14ac:dyDescent="0.2">
      <c r="A194" s="1">
        <v>45521</v>
      </c>
      <c r="B194" s="2">
        <v>6</v>
      </c>
      <c r="C194" s="2">
        <v>24.83</v>
      </c>
      <c r="D194" s="2">
        <v>149</v>
      </c>
    </row>
    <row r="195" spans="1:4" x14ac:dyDescent="0.2">
      <c r="A195" s="1">
        <v>45523</v>
      </c>
      <c r="B195" s="2">
        <v>6</v>
      </c>
      <c r="C195" s="2">
        <v>28.17</v>
      </c>
      <c r="D195" s="2">
        <v>169</v>
      </c>
    </row>
    <row r="196" spans="1:4" x14ac:dyDescent="0.2">
      <c r="A196" s="1">
        <v>45524</v>
      </c>
      <c r="B196" s="2">
        <v>6</v>
      </c>
      <c r="C196" s="2">
        <v>26.5</v>
      </c>
      <c r="D196" s="2">
        <v>159</v>
      </c>
    </row>
    <row r="197" spans="1:4" x14ac:dyDescent="0.2">
      <c r="A197" s="1">
        <v>45525</v>
      </c>
      <c r="B197" s="2">
        <v>6</v>
      </c>
      <c r="C197" s="2">
        <v>27.33</v>
      </c>
      <c r="D197" s="2">
        <v>164</v>
      </c>
    </row>
    <row r="198" spans="1:4" x14ac:dyDescent="0.2">
      <c r="A198" s="1">
        <v>45526</v>
      </c>
      <c r="B198" s="2">
        <v>6</v>
      </c>
      <c r="C198" s="2">
        <v>26</v>
      </c>
      <c r="D198" s="2">
        <v>156</v>
      </c>
    </row>
    <row r="199" spans="1:4" x14ac:dyDescent="0.2">
      <c r="A199" s="1">
        <v>45527</v>
      </c>
      <c r="B199" s="2">
        <v>6</v>
      </c>
      <c r="C199" s="2">
        <v>28</v>
      </c>
      <c r="D199" s="2">
        <v>168</v>
      </c>
    </row>
    <row r="200" spans="1:4" x14ac:dyDescent="0.2">
      <c r="A200" s="1">
        <v>45528</v>
      </c>
      <c r="B200" s="2">
        <v>6</v>
      </c>
      <c r="C200" s="2">
        <v>26.67</v>
      </c>
      <c r="D200" s="2">
        <v>160</v>
      </c>
    </row>
    <row r="201" spans="1:4" x14ac:dyDescent="0.2">
      <c r="A201" s="1">
        <v>45530</v>
      </c>
      <c r="B201" s="2">
        <v>6</v>
      </c>
      <c r="C201" s="2">
        <v>26</v>
      </c>
      <c r="D201" s="2">
        <v>156</v>
      </c>
    </row>
    <row r="202" spans="1:4" x14ac:dyDescent="0.2">
      <c r="A202" s="1">
        <v>45531</v>
      </c>
      <c r="B202" s="2">
        <v>6</v>
      </c>
      <c r="C202" s="2">
        <v>27.5</v>
      </c>
      <c r="D202" s="2">
        <v>165</v>
      </c>
    </row>
    <row r="203" spans="1:4" x14ac:dyDescent="0.2">
      <c r="A203" s="1">
        <v>45532</v>
      </c>
      <c r="B203" s="2">
        <v>6</v>
      </c>
      <c r="C203" s="2">
        <v>26.17</v>
      </c>
      <c r="D203" s="2">
        <v>157</v>
      </c>
    </row>
    <row r="204" spans="1:4" x14ac:dyDescent="0.2">
      <c r="A204" s="1">
        <v>45533</v>
      </c>
      <c r="B204" s="2">
        <v>5</v>
      </c>
      <c r="C204" s="2">
        <v>27.6</v>
      </c>
      <c r="D204" s="2">
        <v>138</v>
      </c>
    </row>
    <row r="205" spans="1:4" x14ac:dyDescent="0.2">
      <c r="A205" s="1">
        <v>45534</v>
      </c>
      <c r="B205" s="2">
        <v>5</v>
      </c>
      <c r="C205" s="2">
        <v>27</v>
      </c>
      <c r="D205" s="2">
        <v>135</v>
      </c>
    </row>
    <row r="206" spans="1:4" x14ac:dyDescent="0.2">
      <c r="A206" s="1">
        <v>45535</v>
      </c>
      <c r="B206" s="2">
        <v>6</v>
      </c>
      <c r="C206" s="2">
        <v>26.67</v>
      </c>
      <c r="D206" s="2">
        <v>160</v>
      </c>
    </row>
    <row r="207" spans="1:4" x14ac:dyDescent="0.2">
      <c r="A207" s="1">
        <v>45537</v>
      </c>
      <c r="B207" s="2">
        <v>6</v>
      </c>
      <c r="C207" s="2">
        <v>25.33</v>
      </c>
      <c r="D207" s="2">
        <v>152</v>
      </c>
    </row>
    <row r="208" spans="1:4" x14ac:dyDescent="0.2">
      <c r="A208" s="1">
        <v>45538</v>
      </c>
      <c r="B208" s="2">
        <v>6</v>
      </c>
      <c r="C208" s="2">
        <v>27.33</v>
      </c>
      <c r="D208" s="2">
        <v>164</v>
      </c>
    </row>
    <row r="209" spans="1:4" x14ac:dyDescent="0.2">
      <c r="A209" s="1">
        <v>45539</v>
      </c>
      <c r="B209" s="2">
        <v>5</v>
      </c>
      <c r="C209" s="2">
        <v>26.4</v>
      </c>
      <c r="D209" s="2">
        <v>132</v>
      </c>
    </row>
    <row r="210" spans="1:4" x14ac:dyDescent="0.2">
      <c r="A210" s="1">
        <v>45540</v>
      </c>
      <c r="B210" s="2">
        <v>2</v>
      </c>
      <c r="C210" s="2">
        <v>30</v>
      </c>
      <c r="D210" s="2">
        <v>60</v>
      </c>
    </row>
    <row r="211" spans="1:4" x14ac:dyDescent="0.2">
      <c r="A211" s="1">
        <v>45541</v>
      </c>
      <c r="B211" s="2">
        <v>4</v>
      </c>
      <c r="C211" s="2">
        <v>25</v>
      </c>
      <c r="D211" s="2">
        <v>100</v>
      </c>
    </row>
    <row r="212" spans="1:4" x14ac:dyDescent="0.2">
      <c r="A212" s="1">
        <v>45542</v>
      </c>
      <c r="B212" s="2">
        <v>6</v>
      </c>
      <c r="C212" s="2">
        <v>27.5</v>
      </c>
      <c r="D212" s="2">
        <v>165</v>
      </c>
    </row>
    <row r="213" spans="1:4" x14ac:dyDescent="0.2">
      <c r="A213" s="1">
        <v>45544</v>
      </c>
      <c r="B213" s="2">
        <v>6</v>
      </c>
      <c r="C213" s="2">
        <v>26.17</v>
      </c>
      <c r="D213" s="2">
        <v>157</v>
      </c>
    </row>
    <row r="214" spans="1:4" x14ac:dyDescent="0.2">
      <c r="A214" s="1">
        <v>45545</v>
      </c>
      <c r="B214" s="2">
        <v>6</v>
      </c>
      <c r="C214" s="2">
        <v>27.17</v>
      </c>
      <c r="D214" s="2">
        <v>163</v>
      </c>
    </row>
    <row r="215" spans="1:4" x14ac:dyDescent="0.2">
      <c r="A215" s="1">
        <v>45546</v>
      </c>
      <c r="B215" s="2">
        <v>5</v>
      </c>
      <c r="C215" s="2">
        <v>28</v>
      </c>
      <c r="D215" s="2">
        <v>140</v>
      </c>
    </row>
    <row r="216" spans="1:4" x14ac:dyDescent="0.2">
      <c r="A216" s="1">
        <v>45547</v>
      </c>
      <c r="B216" s="2">
        <v>6</v>
      </c>
      <c r="C216" s="2">
        <v>26</v>
      </c>
      <c r="D216" s="2">
        <v>156</v>
      </c>
    </row>
    <row r="217" spans="1:4" x14ac:dyDescent="0.2">
      <c r="A217" s="1">
        <v>45548</v>
      </c>
      <c r="B217" s="2">
        <v>6</v>
      </c>
      <c r="C217" s="2">
        <v>25.83</v>
      </c>
      <c r="D217" s="2">
        <v>155</v>
      </c>
    </row>
    <row r="218" spans="1:4" x14ac:dyDescent="0.2">
      <c r="A218" s="1">
        <v>45549</v>
      </c>
      <c r="B218" s="2">
        <v>4</v>
      </c>
      <c r="C218" s="2">
        <v>25.5</v>
      </c>
      <c r="D218" s="2">
        <v>102</v>
      </c>
    </row>
    <row r="219" spans="1:4" x14ac:dyDescent="0.2">
      <c r="A219" s="1">
        <v>45551</v>
      </c>
      <c r="B219" s="2">
        <v>6</v>
      </c>
      <c r="C219" s="2">
        <v>26.83</v>
      </c>
      <c r="D219" s="2">
        <v>161</v>
      </c>
    </row>
    <row r="220" spans="1:4" x14ac:dyDescent="0.2">
      <c r="A220" s="1">
        <v>45552</v>
      </c>
      <c r="B220" s="2">
        <v>5</v>
      </c>
      <c r="C220" s="2">
        <v>26.4</v>
      </c>
      <c r="D220" s="2">
        <v>132</v>
      </c>
    </row>
    <row r="221" spans="1:4" x14ac:dyDescent="0.2">
      <c r="A221" s="1">
        <v>45553</v>
      </c>
      <c r="B221" s="2">
        <v>5</v>
      </c>
      <c r="C221" s="2">
        <v>28.6</v>
      </c>
      <c r="D221" s="2">
        <v>143</v>
      </c>
    </row>
    <row r="222" spans="1:4" x14ac:dyDescent="0.2">
      <c r="A222" s="1">
        <v>45554</v>
      </c>
      <c r="B222" s="2">
        <v>5</v>
      </c>
      <c r="C222" s="2">
        <v>26.4</v>
      </c>
      <c r="D222" s="2">
        <v>132</v>
      </c>
    </row>
    <row r="223" spans="1:4" x14ac:dyDescent="0.2">
      <c r="A223" s="1">
        <v>45555</v>
      </c>
      <c r="B223" s="2">
        <v>6</v>
      </c>
      <c r="C223" s="2">
        <v>27.5</v>
      </c>
      <c r="D223" s="2">
        <v>165</v>
      </c>
    </row>
    <row r="224" spans="1:4" x14ac:dyDescent="0.2">
      <c r="A224" s="1">
        <v>45556</v>
      </c>
      <c r="B224" s="2">
        <v>5</v>
      </c>
      <c r="C224" s="2">
        <v>25.6</v>
      </c>
      <c r="D224" s="2">
        <v>128</v>
      </c>
    </row>
    <row r="225" spans="1:4" x14ac:dyDescent="0.2">
      <c r="A225" s="1">
        <v>45558</v>
      </c>
      <c r="B225" s="2">
        <v>5</v>
      </c>
      <c r="C225" s="2">
        <v>27.2</v>
      </c>
      <c r="D225" s="2">
        <v>136</v>
      </c>
    </row>
    <row r="226" spans="1:4" x14ac:dyDescent="0.2">
      <c r="A226" s="1">
        <v>45559</v>
      </c>
      <c r="B226" s="2">
        <v>5</v>
      </c>
      <c r="C226" s="2">
        <v>26.4</v>
      </c>
      <c r="D226" s="2">
        <v>132</v>
      </c>
    </row>
    <row r="227" spans="1:4" x14ac:dyDescent="0.2">
      <c r="A227" s="1">
        <v>45560</v>
      </c>
      <c r="B227" s="2">
        <v>3</v>
      </c>
      <c r="C227" s="2">
        <v>26.67</v>
      </c>
      <c r="D227" s="2">
        <v>80</v>
      </c>
    </row>
    <row r="228" spans="1:4" x14ac:dyDescent="0.2">
      <c r="A228" s="1">
        <v>45561</v>
      </c>
      <c r="B228" s="2">
        <v>5</v>
      </c>
      <c r="C228" s="2">
        <v>27.8</v>
      </c>
      <c r="D228" s="2">
        <v>139</v>
      </c>
    </row>
    <row r="229" spans="1:4" x14ac:dyDescent="0.2">
      <c r="A229" s="1">
        <v>45562</v>
      </c>
      <c r="B229" s="2">
        <v>5</v>
      </c>
      <c r="C229" s="2">
        <v>26.8</v>
      </c>
      <c r="D229" s="2">
        <v>134</v>
      </c>
    </row>
    <row r="230" spans="1:4" x14ac:dyDescent="0.2">
      <c r="A230" s="1">
        <v>45563</v>
      </c>
      <c r="B230" s="2">
        <v>5</v>
      </c>
      <c r="C230" s="2">
        <v>27.2</v>
      </c>
      <c r="D230" s="2">
        <v>136</v>
      </c>
    </row>
    <row r="231" spans="1:4" x14ac:dyDescent="0.2">
      <c r="A231" s="1">
        <v>45565</v>
      </c>
      <c r="B231" s="2">
        <v>5</v>
      </c>
      <c r="C231" s="2">
        <v>25.8</v>
      </c>
      <c r="D231" s="2">
        <v>129</v>
      </c>
    </row>
    <row r="232" spans="1:4" x14ac:dyDescent="0.2">
      <c r="A232" s="1">
        <v>45566</v>
      </c>
      <c r="B232" s="2">
        <v>3</v>
      </c>
      <c r="C232" s="2">
        <v>27.67</v>
      </c>
      <c r="D232" s="2">
        <v>83</v>
      </c>
    </row>
    <row r="233" spans="1:4" x14ac:dyDescent="0.2">
      <c r="A233" s="1">
        <v>45567</v>
      </c>
      <c r="B233" s="2">
        <v>3</v>
      </c>
      <c r="C233" s="2">
        <v>26.33</v>
      </c>
      <c r="D233" s="2">
        <v>79</v>
      </c>
    </row>
    <row r="234" spans="1:4" x14ac:dyDescent="0.2">
      <c r="A234" s="1">
        <v>45568</v>
      </c>
      <c r="B234" s="2">
        <v>6</v>
      </c>
      <c r="C234" s="2">
        <v>26.83</v>
      </c>
      <c r="D234" s="2">
        <v>161</v>
      </c>
    </row>
    <row r="235" spans="1:4" x14ac:dyDescent="0.2">
      <c r="A235" s="1">
        <v>45569</v>
      </c>
      <c r="B235" s="2">
        <v>4</v>
      </c>
      <c r="C235" s="2">
        <v>25</v>
      </c>
      <c r="D235" s="2">
        <v>100</v>
      </c>
    </row>
    <row r="236" spans="1:4" x14ac:dyDescent="0.2">
      <c r="A236" s="1">
        <v>45570</v>
      </c>
      <c r="B236" s="2">
        <v>1</v>
      </c>
      <c r="C236" s="2">
        <v>25</v>
      </c>
      <c r="D236" s="2">
        <v>25</v>
      </c>
    </row>
    <row r="237" spans="1:4" x14ac:dyDescent="0.2">
      <c r="A237" s="1">
        <v>45572</v>
      </c>
      <c r="B237" s="2">
        <v>3</v>
      </c>
      <c r="C237" s="2">
        <v>25.33</v>
      </c>
      <c r="D237" s="2">
        <v>76</v>
      </c>
    </row>
    <row r="238" spans="1:4" x14ac:dyDescent="0.2">
      <c r="A238" s="1">
        <v>45573</v>
      </c>
      <c r="B238" s="2">
        <v>5</v>
      </c>
      <c r="C238" s="2">
        <v>28.4</v>
      </c>
      <c r="D238" s="2">
        <v>142</v>
      </c>
    </row>
    <row r="239" spans="1:4" x14ac:dyDescent="0.2">
      <c r="A239" s="1">
        <v>45574</v>
      </c>
      <c r="B239" s="2">
        <v>5</v>
      </c>
      <c r="C239" s="2">
        <v>26.4</v>
      </c>
      <c r="D239" s="2">
        <v>132</v>
      </c>
    </row>
    <row r="240" spans="1:4" x14ac:dyDescent="0.2">
      <c r="A240" s="1">
        <v>45575</v>
      </c>
      <c r="B240" s="2">
        <v>5</v>
      </c>
      <c r="C240" s="2">
        <v>27.4</v>
      </c>
      <c r="D240" s="2">
        <v>137</v>
      </c>
    </row>
    <row r="241" spans="1:4" x14ac:dyDescent="0.2">
      <c r="A241" s="1">
        <v>45576</v>
      </c>
      <c r="B241" s="2">
        <v>4</v>
      </c>
      <c r="C241" s="2">
        <v>25</v>
      </c>
      <c r="D241" s="2">
        <v>100</v>
      </c>
    </row>
    <row r="242" spans="1:4" x14ac:dyDescent="0.2">
      <c r="A242" s="1">
        <v>45577</v>
      </c>
      <c r="B242" s="2">
        <v>2</v>
      </c>
      <c r="C242" s="2">
        <v>26.5</v>
      </c>
      <c r="D242" s="2">
        <v>53</v>
      </c>
    </row>
    <row r="243" spans="1:4" x14ac:dyDescent="0.2">
      <c r="A243" s="1">
        <v>45579</v>
      </c>
      <c r="B243" s="2">
        <v>3</v>
      </c>
      <c r="C243" s="2">
        <v>25.33</v>
      </c>
      <c r="D243" s="2">
        <v>76</v>
      </c>
    </row>
    <row r="244" spans="1:4" x14ac:dyDescent="0.2">
      <c r="A244" s="1">
        <v>45580</v>
      </c>
      <c r="B244" s="2">
        <v>4</v>
      </c>
      <c r="C244" s="2">
        <v>26.5</v>
      </c>
      <c r="D244" s="2">
        <v>106</v>
      </c>
    </row>
    <row r="245" spans="1:4" x14ac:dyDescent="0.2">
      <c r="A245" s="1">
        <v>45581</v>
      </c>
      <c r="B245" s="2">
        <v>5</v>
      </c>
      <c r="C245" s="2">
        <v>26.6</v>
      </c>
      <c r="D245" s="2">
        <v>133</v>
      </c>
    </row>
    <row r="246" spans="1:4" x14ac:dyDescent="0.2">
      <c r="A246" s="1">
        <v>45582</v>
      </c>
      <c r="B246" s="2">
        <v>4</v>
      </c>
      <c r="C246" s="2">
        <v>25.75</v>
      </c>
      <c r="D246" s="2">
        <v>103</v>
      </c>
    </row>
    <row r="247" spans="1:4" x14ac:dyDescent="0.2">
      <c r="A247" s="1">
        <v>45583</v>
      </c>
      <c r="B247" s="2">
        <v>4</v>
      </c>
      <c r="C247" s="2">
        <v>29.75</v>
      </c>
      <c r="D247" s="2">
        <v>119</v>
      </c>
    </row>
    <row r="248" spans="1:4" x14ac:dyDescent="0.2">
      <c r="A248" s="1">
        <v>45584</v>
      </c>
      <c r="B248" s="2">
        <v>2</v>
      </c>
      <c r="C248" s="2">
        <v>23.5</v>
      </c>
      <c r="D248" s="2">
        <v>47</v>
      </c>
    </row>
    <row r="249" spans="1:4" x14ac:dyDescent="0.2">
      <c r="A249" s="1">
        <v>45586</v>
      </c>
      <c r="B249" s="2">
        <v>5</v>
      </c>
      <c r="C249" s="2">
        <v>26.2</v>
      </c>
      <c r="D249" s="2">
        <v>131</v>
      </c>
    </row>
    <row r="250" spans="1:4" x14ac:dyDescent="0.2">
      <c r="A250" s="1">
        <v>45587</v>
      </c>
      <c r="B250" s="2">
        <v>3</v>
      </c>
      <c r="C250" s="2">
        <v>27.67</v>
      </c>
      <c r="D250" s="2">
        <v>83</v>
      </c>
    </row>
    <row r="251" spans="1:4" x14ac:dyDescent="0.2">
      <c r="A251" s="1">
        <v>45588</v>
      </c>
      <c r="B251" s="2">
        <v>2</v>
      </c>
      <c r="C251" s="2">
        <v>27</v>
      </c>
      <c r="D251" s="2">
        <v>54</v>
      </c>
    </row>
    <row r="252" spans="1:4" x14ac:dyDescent="0.2">
      <c r="A252" s="1">
        <v>45589</v>
      </c>
      <c r="B252" s="2">
        <v>4</v>
      </c>
      <c r="C252" s="2">
        <v>25.25</v>
      </c>
      <c r="D252" s="2">
        <v>101</v>
      </c>
    </row>
    <row r="253" spans="1:4" x14ac:dyDescent="0.2">
      <c r="A253" s="1">
        <v>45590</v>
      </c>
      <c r="B253" s="2">
        <v>4</v>
      </c>
      <c r="C253" s="2">
        <v>28.5</v>
      </c>
      <c r="D253" s="2">
        <v>114</v>
      </c>
    </row>
    <row r="254" spans="1:4" x14ac:dyDescent="0.2">
      <c r="A254" s="1">
        <v>45591</v>
      </c>
      <c r="B254" s="2">
        <v>3</v>
      </c>
      <c r="C254" s="2">
        <v>25</v>
      </c>
      <c r="D254" s="2">
        <v>75</v>
      </c>
    </row>
    <row r="255" spans="1:4" x14ac:dyDescent="0.2">
      <c r="A255" s="1">
        <v>45593</v>
      </c>
      <c r="B255" s="2">
        <v>5</v>
      </c>
      <c r="C255" s="2">
        <v>26</v>
      </c>
      <c r="D255" s="2">
        <v>130</v>
      </c>
    </row>
    <row r="256" spans="1:4" x14ac:dyDescent="0.2">
      <c r="A256" s="1">
        <v>45594</v>
      </c>
      <c r="B256" s="2">
        <v>5</v>
      </c>
      <c r="C256" s="2">
        <v>28.6</v>
      </c>
      <c r="D256" s="2">
        <v>143</v>
      </c>
    </row>
    <row r="257" spans="1:4" x14ac:dyDescent="0.2">
      <c r="A257" s="1">
        <v>45595</v>
      </c>
      <c r="B257" s="2">
        <v>3</v>
      </c>
      <c r="C257" s="2">
        <v>26</v>
      </c>
      <c r="D257" s="2">
        <v>78</v>
      </c>
    </row>
    <row r="258" spans="1:4" x14ac:dyDescent="0.2">
      <c r="A258" s="1">
        <v>45596</v>
      </c>
      <c r="B258" s="2">
        <v>2</v>
      </c>
      <c r="C258" s="2">
        <v>24.5</v>
      </c>
      <c r="D258" s="2">
        <v>49</v>
      </c>
    </row>
    <row r="259" spans="1:4" x14ac:dyDescent="0.2">
      <c r="A259" s="1">
        <v>45597</v>
      </c>
      <c r="B259" s="2">
        <v>3</v>
      </c>
      <c r="C259" s="2">
        <v>27.67</v>
      </c>
      <c r="D259" s="2">
        <v>83</v>
      </c>
    </row>
    <row r="260" spans="1:4" x14ac:dyDescent="0.2">
      <c r="A260" s="1">
        <v>45598</v>
      </c>
      <c r="B260" s="2">
        <v>4</v>
      </c>
      <c r="C260" s="2">
        <v>26.5</v>
      </c>
      <c r="D260" s="2">
        <v>106</v>
      </c>
    </row>
    <row r="261" spans="1:4" x14ac:dyDescent="0.2">
      <c r="A261" s="1">
        <v>45600</v>
      </c>
      <c r="B261" s="2">
        <v>4</v>
      </c>
      <c r="C261" s="2">
        <v>25.75</v>
      </c>
      <c r="D261" s="2">
        <v>103</v>
      </c>
    </row>
    <row r="262" spans="1:4" x14ac:dyDescent="0.2">
      <c r="A262" s="1">
        <v>45601</v>
      </c>
      <c r="B262" s="2">
        <v>2</v>
      </c>
      <c r="C262" s="2">
        <v>29</v>
      </c>
      <c r="D262" s="2">
        <v>58</v>
      </c>
    </row>
    <row r="263" spans="1:4" x14ac:dyDescent="0.2">
      <c r="A263" s="1">
        <v>45602</v>
      </c>
      <c r="B263" s="2">
        <v>3</v>
      </c>
      <c r="C263" s="2">
        <v>27</v>
      </c>
      <c r="D263" s="2">
        <v>81</v>
      </c>
    </row>
    <row r="264" spans="1:4" x14ac:dyDescent="0.2">
      <c r="A264" s="1">
        <v>45603</v>
      </c>
      <c r="B264" s="2">
        <v>5</v>
      </c>
      <c r="C264" s="2">
        <v>27</v>
      </c>
      <c r="D264" s="2">
        <v>135</v>
      </c>
    </row>
    <row r="265" spans="1:4" x14ac:dyDescent="0.2">
      <c r="A265" s="1">
        <v>45604</v>
      </c>
      <c r="B265" s="2">
        <v>1</v>
      </c>
      <c r="C265" s="2">
        <v>26</v>
      </c>
      <c r="D265" s="2">
        <v>26</v>
      </c>
    </row>
    <row r="266" spans="1:4" x14ac:dyDescent="0.2">
      <c r="A266" s="1">
        <v>45605</v>
      </c>
      <c r="B266" s="2">
        <v>4</v>
      </c>
      <c r="C266" s="2">
        <v>28.25</v>
      </c>
      <c r="D266" s="2">
        <v>113</v>
      </c>
    </row>
    <row r="267" spans="1:4" x14ac:dyDescent="0.2">
      <c r="A267" s="1">
        <v>45607</v>
      </c>
      <c r="B267" s="2">
        <v>3</v>
      </c>
      <c r="C267" s="2">
        <v>25</v>
      </c>
      <c r="D267" s="2">
        <v>75</v>
      </c>
    </row>
    <row r="268" spans="1:4" x14ac:dyDescent="0.2">
      <c r="A268" s="1">
        <v>45608</v>
      </c>
      <c r="B268" s="2">
        <v>3</v>
      </c>
      <c r="C268" s="2">
        <v>27.67</v>
      </c>
      <c r="D268" s="2">
        <v>83</v>
      </c>
    </row>
    <row r="269" spans="1:4" x14ac:dyDescent="0.2">
      <c r="A269" s="1">
        <v>45609</v>
      </c>
      <c r="B269" s="2">
        <v>1</v>
      </c>
      <c r="C269" s="2">
        <v>25</v>
      </c>
      <c r="D269" s="2">
        <v>25</v>
      </c>
    </row>
    <row r="270" spans="1:4" x14ac:dyDescent="0.2">
      <c r="A270" s="1">
        <v>45610</v>
      </c>
      <c r="B270" s="2">
        <v>3</v>
      </c>
      <c r="C270" s="2">
        <v>27.67</v>
      </c>
      <c r="D270" s="2">
        <v>83</v>
      </c>
    </row>
    <row r="271" spans="1:4" x14ac:dyDescent="0.2">
      <c r="A271" s="1">
        <v>45611</v>
      </c>
      <c r="B271" s="2">
        <v>3</v>
      </c>
      <c r="C271" s="2">
        <v>25.33</v>
      </c>
      <c r="D271" s="2">
        <v>76</v>
      </c>
    </row>
    <row r="272" spans="1:4" x14ac:dyDescent="0.2">
      <c r="A272" s="1">
        <v>45612</v>
      </c>
      <c r="B272" s="2">
        <v>3</v>
      </c>
      <c r="C272" s="2">
        <v>29</v>
      </c>
      <c r="D272" s="2">
        <v>87</v>
      </c>
    </row>
    <row r="273" spans="1:4" x14ac:dyDescent="0.2">
      <c r="A273" s="1">
        <v>45614</v>
      </c>
      <c r="B273" s="2">
        <v>3</v>
      </c>
      <c r="C273" s="2">
        <v>28</v>
      </c>
      <c r="D273" s="2">
        <v>84</v>
      </c>
    </row>
    <row r="274" spans="1:4" x14ac:dyDescent="0.2">
      <c r="A274" s="1">
        <v>45615</v>
      </c>
      <c r="B274" s="2">
        <v>4</v>
      </c>
      <c r="C274" s="2">
        <v>25.75</v>
      </c>
      <c r="D274" s="2">
        <v>103</v>
      </c>
    </row>
    <row r="275" spans="1:4" x14ac:dyDescent="0.2">
      <c r="A275" s="1">
        <v>45616</v>
      </c>
      <c r="B275" s="2">
        <v>2</v>
      </c>
      <c r="C275" s="2">
        <v>27</v>
      </c>
      <c r="D275" s="2">
        <v>54</v>
      </c>
    </row>
    <row r="276" spans="1:4" x14ac:dyDescent="0.2">
      <c r="A276" s="1">
        <v>45618</v>
      </c>
      <c r="B276" s="2">
        <v>3</v>
      </c>
      <c r="C276" s="2">
        <v>24.67</v>
      </c>
      <c r="D276" s="2">
        <v>74</v>
      </c>
    </row>
    <row r="277" spans="1:4" x14ac:dyDescent="0.2">
      <c r="A277" s="1">
        <v>45619</v>
      </c>
      <c r="B277" s="2">
        <v>1</v>
      </c>
      <c r="C277" s="2">
        <v>28</v>
      </c>
      <c r="D277" s="2">
        <v>28</v>
      </c>
    </row>
    <row r="278" spans="1:4" x14ac:dyDescent="0.2">
      <c r="A278" s="1">
        <v>45621</v>
      </c>
      <c r="B278" s="2">
        <v>5</v>
      </c>
      <c r="C278" s="2">
        <v>26.8</v>
      </c>
      <c r="D278" s="2">
        <v>134</v>
      </c>
    </row>
    <row r="279" spans="1:4" x14ac:dyDescent="0.2">
      <c r="A279" s="1">
        <v>45622</v>
      </c>
      <c r="B279" s="2">
        <v>3</v>
      </c>
      <c r="C279" s="2">
        <v>27</v>
      </c>
      <c r="D279" s="2">
        <v>81</v>
      </c>
    </row>
    <row r="280" spans="1:4" x14ac:dyDescent="0.2">
      <c r="A280" s="1">
        <v>45623</v>
      </c>
      <c r="B280" s="2">
        <v>1</v>
      </c>
      <c r="C280" s="2">
        <v>26</v>
      </c>
      <c r="D280" s="2">
        <v>26</v>
      </c>
    </row>
    <row r="281" spans="1:4" x14ac:dyDescent="0.2">
      <c r="A281" s="1">
        <v>45624</v>
      </c>
      <c r="B281" s="2">
        <v>1</v>
      </c>
      <c r="C281" s="2">
        <v>28</v>
      </c>
      <c r="D281" s="2">
        <v>28</v>
      </c>
    </row>
    <row r="282" spans="1:4" x14ac:dyDescent="0.2">
      <c r="A282" s="1">
        <v>45625</v>
      </c>
      <c r="B282" s="2">
        <v>3</v>
      </c>
      <c r="C282" s="2">
        <v>25.33</v>
      </c>
      <c r="D282" s="2">
        <v>76</v>
      </c>
    </row>
    <row r="283" spans="1:4" x14ac:dyDescent="0.2">
      <c r="A283" s="1">
        <v>45626</v>
      </c>
      <c r="B283" s="2">
        <v>1</v>
      </c>
      <c r="C283" s="2">
        <v>24</v>
      </c>
      <c r="D283" s="2">
        <v>24</v>
      </c>
    </row>
    <row r="284" spans="1:4" x14ac:dyDescent="0.2">
      <c r="A284" s="1">
        <v>45628</v>
      </c>
      <c r="B284" s="2">
        <v>3</v>
      </c>
      <c r="C284" s="2">
        <v>28</v>
      </c>
      <c r="D284" s="2">
        <v>84</v>
      </c>
    </row>
    <row r="285" spans="1:4" x14ac:dyDescent="0.2">
      <c r="A285" s="1">
        <v>45629</v>
      </c>
      <c r="B285" s="2">
        <v>2</v>
      </c>
      <c r="C285" s="2">
        <v>24.5</v>
      </c>
      <c r="D285" s="2">
        <v>49</v>
      </c>
    </row>
    <row r="286" spans="1:4" x14ac:dyDescent="0.2">
      <c r="A286" s="1">
        <v>45630</v>
      </c>
      <c r="B286" s="2">
        <v>2</v>
      </c>
      <c r="C286" s="2">
        <v>28.5</v>
      </c>
      <c r="D286" s="2">
        <v>57</v>
      </c>
    </row>
    <row r="287" spans="1:4" x14ac:dyDescent="0.2">
      <c r="A287" s="1">
        <v>45631</v>
      </c>
      <c r="B287" s="2">
        <v>3</v>
      </c>
      <c r="C287" s="2">
        <v>27.33</v>
      </c>
      <c r="D287" s="2">
        <v>82</v>
      </c>
    </row>
    <row r="288" spans="1:4" x14ac:dyDescent="0.2">
      <c r="A288" s="1">
        <v>45632</v>
      </c>
      <c r="B288" s="2">
        <v>1</v>
      </c>
      <c r="C288" s="2">
        <v>28</v>
      </c>
      <c r="D288" s="2">
        <v>28</v>
      </c>
    </row>
    <row r="289" spans="1:4" x14ac:dyDescent="0.2">
      <c r="A289" s="1">
        <v>45633</v>
      </c>
      <c r="B289" s="2">
        <v>1</v>
      </c>
      <c r="C289" s="2">
        <v>24</v>
      </c>
      <c r="D289" s="2">
        <v>24</v>
      </c>
    </row>
    <row r="290" spans="1:4" x14ac:dyDescent="0.2">
      <c r="A290" s="1">
        <v>45636</v>
      </c>
      <c r="B290" s="2">
        <v>2</v>
      </c>
      <c r="C290" s="2">
        <v>29.5</v>
      </c>
      <c r="D290" s="2">
        <v>59</v>
      </c>
    </row>
    <row r="291" spans="1:4" x14ac:dyDescent="0.2">
      <c r="A291" s="1">
        <v>45637</v>
      </c>
      <c r="B291" s="2">
        <v>2</v>
      </c>
      <c r="C291" s="2">
        <v>24</v>
      </c>
      <c r="D291" s="2">
        <v>48</v>
      </c>
    </row>
    <row r="292" spans="1:4" x14ac:dyDescent="0.2">
      <c r="A292" s="1">
        <v>45638</v>
      </c>
      <c r="B292" s="2">
        <v>2</v>
      </c>
      <c r="C292" s="2">
        <v>27.5</v>
      </c>
      <c r="D292" s="2">
        <v>55</v>
      </c>
    </row>
    <row r="293" spans="1:4" x14ac:dyDescent="0.2">
      <c r="A293" s="1">
        <v>45639</v>
      </c>
      <c r="B293" s="2">
        <v>2</v>
      </c>
      <c r="C293" s="2">
        <v>26.5</v>
      </c>
      <c r="D293" s="2">
        <v>53</v>
      </c>
    </row>
    <row r="294" spans="1:4" x14ac:dyDescent="0.2">
      <c r="A294" s="1">
        <v>45640</v>
      </c>
      <c r="B294" s="2">
        <v>2</v>
      </c>
      <c r="C294" s="2">
        <v>29</v>
      </c>
      <c r="D294" s="2">
        <v>58</v>
      </c>
    </row>
    <row r="295" spans="1:4" x14ac:dyDescent="0.2">
      <c r="A295" s="1">
        <v>45642</v>
      </c>
      <c r="B295" s="2">
        <v>1</v>
      </c>
      <c r="C295" s="2">
        <v>25</v>
      </c>
      <c r="D295" s="2">
        <v>25</v>
      </c>
    </row>
    <row r="296" spans="1:4" x14ac:dyDescent="0.2">
      <c r="A296" s="1">
        <v>45643</v>
      </c>
      <c r="B296" s="2">
        <v>1</v>
      </c>
      <c r="C296" s="2">
        <v>31</v>
      </c>
      <c r="D296" s="2">
        <v>31</v>
      </c>
    </row>
    <row r="297" spans="1:4" x14ac:dyDescent="0.2">
      <c r="A297" s="1">
        <v>45644</v>
      </c>
      <c r="B297" s="2">
        <v>1</v>
      </c>
      <c r="C297" s="2">
        <v>23</v>
      </c>
      <c r="D297" s="2">
        <v>23</v>
      </c>
    </row>
    <row r="298" spans="1:4" x14ac:dyDescent="0.2">
      <c r="A298" s="1">
        <v>45646</v>
      </c>
      <c r="B298" s="2">
        <v>1</v>
      </c>
      <c r="C298" s="2">
        <v>24</v>
      </c>
      <c r="D298" s="2">
        <v>24</v>
      </c>
    </row>
    <row r="299" spans="1:4" x14ac:dyDescent="0.2">
      <c r="A299" s="1">
        <v>45647</v>
      </c>
      <c r="B299" s="2">
        <v>1</v>
      </c>
      <c r="C299" s="2">
        <v>25</v>
      </c>
      <c r="D299" s="2">
        <v>25</v>
      </c>
    </row>
    <row r="301" spans="1:4" x14ac:dyDescent="0.2">
      <c r="A301" s="1" t="s">
        <v>4</v>
      </c>
      <c r="B301" s="2">
        <f>SUM(B2:B299)</f>
        <v>1444</v>
      </c>
      <c r="D301" s="2">
        <f>SUM(D2:D299)</f>
        <v>38901</v>
      </c>
    </row>
    <row r="303" spans="1:4" x14ac:dyDescent="0.2">
      <c r="A303" s="1" t="s">
        <v>5</v>
      </c>
      <c r="B303" s="2" t="s">
        <v>6</v>
      </c>
      <c r="D303" s="2">
        <f>D301*0.23</f>
        <v>8947.23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C5AF-A84C-4F73-BF10-DA2FA381C2D4}">
  <dimension ref="A1:C14"/>
  <sheetViews>
    <sheetView tabSelected="1" workbookViewId="0">
      <selection activeCell="B1" sqref="B1"/>
    </sheetView>
  </sheetViews>
  <sheetFormatPr defaultRowHeight="12.75" x14ac:dyDescent="0.2"/>
  <cols>
    <col min="1" max="1" width="9.7109375" bestFit="1" customWidth="1"/>
    <col min="2" max="2" width="12.7109375" bestFit="1" customWidth="1"/>
  </cols>
  <sheetData>
    <row r="1" spans="1:3" x14ac:dyDescent="0.2">
      <c r="A1" s="7">
        <v>2024</v>
      </c>
      <c r="B1" s="7" t="s">
        <v>64</v>
      </c>
      <c r="C1" s="7"/>
    </row>
    <row r="2" spans="1:3" x14ac:dyDescent="0.2">
      <c r="A2" s="8" t="s">
        <v>32</v>
      </c>
      <c r="B2">
        <v>1616.42</v>
      </c>
    </row>
    <row r="3" spans="1:3" x14ac:dyDescent="0.2">
      <c r="A3" s="8" t="s">
        <v>33</v>
      </c>
      <c r="B3" s="2">
        <v>1620.38</v>
      </c>
    </row>
    <row r="4" spans="1:3" x14ac:dyDescent="0.2">
      <c r="A4" s="8" t="s">
        <v>34</v>
      </c>
      <c r="B4" s="2">
        <v>1620.38</v>
      </c>
    </row>
    <row r="5" spans="1:3" x14ac:dyDescent="0.2">
      <c r="A5" s="8" t="s">
        <v>35</v>
      </c>
      <c r="B5" s="2">
        <v>1620.38</v>
      </c>
    </row>
    <row r="6" spans="1:3" x14ac:dyDescent="0.2">
      <c r="A6" s="8" t="s">
        <v>36</v>
      </c>
      <c r="B6" s="2">
        <v>1618.4</v>
      </c>
    </row>
    <row r="7" spans="1:3" x14ac:dyDescent="0.2">
      <c r="A7" s="8" t="s">
        <v>37</v>
      </c>
      <c r="B7">
        <v>1612.4</v>
      </c>
    </row>
    <row r="8" spans="1:3" x14ac:dyDescent="0.2">
      <c r="A8" s="8" t="s">
        <v>38</v>
      </c>
      <c r="B8" s="2">
        <v>166.5</v>
      </c>
    </row>
    <row r="9" spans="1:3" x14ac:dyDescent="0.2">
      <c r="A9" s="8" t="s">
        <v>39</v>
      </c>
      <c r="B9" s="2">
        <v>1568.82</v>
      </c>
    </row>
    <row r="10" spans="1:3" x14ac:dyDescent="0.2">
      <c r="A10" s="8" t="s">
        <v>40</v>
      </c>
      <c r="B10" s="2">
        <v>1568.82</v>
      </c>
    </row>
    <row r="11" spans="1:3" x14ac:dyDescent="0.2">
      <c r="A11" s="8" t="s">
        <v>41</v>
      </c>
      <c r="B11" s="2">
        <v>1519.23</v>
      </c>
    </row>
    <row r="12" spans="1:3" x14ac:dyDescent="0.2">
      <c r="A12" s="8" t="s">
        <v>42</v>
      </c>
      <c r="B12">
        <v>1697.48</v>
      </c>
    </row>
    <row r="13" spans="1:3" x14ac:dyDescent="0.2">
      <c r="A13" s="8" t="s">
        <v>43</v>
      </c>
      <c r="B13" s="2">
        <v>1469.65</v>
      </c>
    </row>
    <row r="14" spans="1:3" x14ac:dyDescent="0.2">
      <c r="A14" s="9" t="s">
        <v>4</v>
      </c>
      <c r="B14" s="10">
        <f>SUM(B3:B13)</f>
        <v>16082.439999999999</v>
      </c>
      <c r="C1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Maandsamenvatting</vt:lpstr>
      <vt:lpstr>Bron transacties</vt:lpstr>
      <vt:lpstr>Rittenplanning</vt:lpstr>
      <vt:lpstr>Prive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2026-04-15T16:06:06Z</dcterms:created>
  <dcterms:modified xsi:type="dcterms:W3CDTF">2026-04-22T21:50:25Z</dcterms:modified>
</cp:coreProperties>
</file>