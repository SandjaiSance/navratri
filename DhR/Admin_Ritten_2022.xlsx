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CopilotWS\DhR\"/>
    </mc:Choice>
  </mc:AlternateContent>
  <xr:revisionPtr revIDLastSave="0" documentId="13_ncr:1_{C490B08D-4543-400B-A3A4-6E72C9B5482F}" xr6:coauthVersionLast="47" xr6:coauthVersionMax="47" xr10:uidLastSave="{00000000-0000-0000-0000-000000000000}"/>
  <bookViews>
    <workbookView xWindow="1560" yWindow="1485" windowWidth="22965" windowHeight="19395" xr2:uid="{596E4904-68D3-4BF3-9B4E-FF85194A6314}"/>
  </bookViews>
  <sheets>
    <sheet name="Maandsamenvatting" sheetId="3" r:id="rId1"/>
    <sheet name="Rittenplanning" sheetId="1" r:id="rId2"/>
    <sheet name="Transacties" sheetId="2" r:id="rId3"/>
    <sheet name="Kosten" sheetId="5" r:id="rId4"/>
    <sheet name="Prive" sheetId="4" r:id="rId5"/>
  </sheets>
  <definedNames>
    <definedName name="_xlnm._FilterDatabase" localSheetId="3" hidden="1">Kosten!$A$6:$C$537</definedName>
    <definedName name="_xlnm._FilterDatabase" localSheetId="2" hidden="1">Transacties!$A$1:$F$115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8" i="1" l="1"/>
  <c r="E282" i="1"/>
  <c r="E256" i="1"/>
  <c r="E230" i="1"/>
  <c r="E204" i="1"/>
  <c r="E177" i="1"/>
  <c r="E151" i="1"/>
  <c r="E126" i="1"/>
  <c r="E101" i="1"/>
  <c r="E77" i="1"/>
  <c r="E50" i="1"/>
  <c r="E26" i="1"/>
  <c r="B22" i="3"/>
  <c r="B21" i="3"/>
  <c r="D68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J15" i="3" l="1"/>
  <c r="J10" i="3"/>
  <c r="J11" i="3" s="1"/>
  <c r="J24" i="3"/>
  <c r="J22" i="3"/>
  <c r="J21" i="3"/>
  <c r="J6" i="3"/>
  <c r="J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G16" i="3" s="1"/>
  <c r="F3" i="3"/>
  <c r="F16" i="3" s="1"/>
  <c r="G2" i="3"/>
  <c r="F2" i="3"/>
  <c r="B14" i="4"/>
  <c r="C14" i="4"/>
  <c r="D16" i="3"/>
  <c r="C16" i="3"/>
  <c r="B20" i="3" s="1"/>
  <c r="B25" i="3" s="1"/>
  <c r="B16" i="3"/>
  <c r="E115" i="2"/>
  <c r="C115" i="2"/>
  <c r="B115" i="2"/>
  <c r="D310" i="1"/>
  <c r="D312" i="1" s="1"/>
  <c r="B310" i="1"/>
  <c r="C26" i="3" l="1"/>
  <c r="J19" i="3"/>
  <c r="J7" i="3"/>
  <c r="J8" i="3" s="1"/>
  <c r="J25" i="3"/>
  <c r="J27" i="3" l="1"/>
  <c r="J13" i="3" s="1"/>
  <c r="J16" i="3" s="1"/>
</calcChain>
</file>

<file path=xl/sharedStrings.xml><?xml version="1.0" encoding="utf-8"?>
<sst xmlns="http://schemas.openxmlformats.org/spreadsheetml/2006/main" count="150" uniqueCount="92">
  <si>
    <t>Plandatum</t>
  </si>
  <si>
    <t>Uren gepland</t>
  </si>
  <si>
    <t>Km per uur</t>
  </si>
  <si>
    <t>Kilometers</t>
  </si>
  <si>
    <t>Totaal</t>
  </si>
  <si>
    <t>Km-vergoeding</t>
  </si>
  <si>
    <t>Jaar 2022</t>
  </si>
  <si>
    <t>Transactiedatum</t>
  </si>
  <si>
    <t>Inkomsten rijschool</t>
  </si>
  <si>
    <t>Uren afgerond</t>
  </si>
  <si>
    <t>Weken terug</t>
  </si>
  <si>
    <t>Maand</t>
  </si>
  <si>
    <t>Uurtarief</t>
  </si>
  <si>
    <t>januari 2022</t>
  </si>
  <si>
    <t>februari 2022</t>
  </si>
  <si>
    <t>maart 2022</t>
  </si>
  <si>
    <t>april 2022</t>
  </si>
  <si>
    <t>mei 2022</t>
  </si>
  <si>
    <t>juni 2022</t>
  </si>
  <si>
    <t>juli 2022</t>
  </si>
  <si>
    <t>augustus 2022</t>
  </si>
  <si>
    <t>september 2022</t>
  </si>
  <si>
    <t>oktober 2022</t>
  </si>
  <si>
    <t>november 2022</t>
  </si>
  <si>
    <t>december 2022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</si>
  <si>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</si>
  <si>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</si>
  <si>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</si>
  <si>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</si>
  <si>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</si>
  <si>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</si>
  <si>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SVB -PGB Ramasray</t>
  </si>
  <si>
    <t>januari</t>
  </si>
  <si>
    <t>februari</t>
  </si>
  <si>
    <t>maart</t>
  </si>
  <si>
    <t>april</t>
  </si>
  <si>
    <t>juni</t>
  </si>
  <si>
    <t>juli</t>
  </si>
  <si>
    <t>augustus</t>
  </si>
  <si>
    <t>september</t>
  </si>
  <si>
    <t>oktober</t>
  </si>
  <si>
    <t>november</t>
  </si>
  <si>
    <t>december</t>
  </si>
  <si>
    <t>mei</t>
  </si>
  <si>
    <t>2022</t>
  </si>
  <si>
    <t>zakelijk</t>
  </si>
  <si>
    <t>Prive</t>
  </si>
  <si>
    <t>ACTIVA</t>
  </si>
  <si>
    <t>VASTE ACTIVA</t>
  </si>
  <si>
    <t>Inventaris (incl computer ed)</t>
  </si>
  <si>
    <t>afschrijvingen</t>
  </si>
  <si>
    <t>boekwaarde</t>
  </si>
  <si>
    <t>VLOTTENDE ACTIVA</t>
  </si>
  <si>
    <t>LIQUIDE MIDDELEN</t>
  </si>
  <si>
    <t>Kas/bank</t>
  </si>
  <si>
    <t>priveonttrekkingen</t>
  </si>
  <si>
    <t>TOTAAL</t>
  </si>
  <si>
    <t>PASSIVA</t>
  </si>
  <si>
    <t>Eigen vermogen</t>
  </si>
  <si>
    <t>Langlopende schulden</t>
  </si>
  <si>
    <t>Kortlopende schulden</t>
  </si>
  <si>
    <t>Te Betalen Belastingen</t>
  </si>
  <si>
    <t>cumm</t>
  </si>
  <si>
    <t>BALANS 2022</t>
  </si>
  <si>
    <t>ELQ hyp rente</t>
  </si>
  <si>
    <t xml:space="preserve">overige vorderingen </t>
  </si>
  <si>
    <t>Winst- en verliestrekening</t>
  </si>
  <si>
    <t>Rijschool Mado</t>
  </si>
  <si>
    <t>KPN - Mobiel</t>
  </si>
  <si>
    <t>CCVGEMEENTE DEN HAAG NLD</t>
  </si>
  <si>
    <t>MobielWerkt BV GRONINGEN NLD</t>
  </si>
  <si>
    <t>bedrijfsrest 2461 BARENDRECHT</t>
  </si>
  <si>
    <t>Kosten BasisPakket</t>
  </si>
  <si>
    <t>CBR via ING</t>
  </si>
  <si>
    <t>AMP Logistics BV HOUTEN NLD</t>
  </si>
  <si>
    <t>Betaald Park Rdam ROTTERDAM NLD</t>
  </si>
  <si>
    <t>Mediamarkt Alexandri ROTTERDAM</t>
  </si>
  <si>
    <t>P DEN HAAG 48100 SGRAVENHAGE</t>
  </si>
  <si>
    <t>Harbour Rotterdam ROTTERDAM NLD</t>
  </si>
  <si>
    <t>Van Weel Motorbanden BLEISWIJK</t>
  </si>
  <si>
    <t>iZ Barista Compan NIEUWERSLUIS</t>
  </si>
  <si>
    <t>Datum</t>
  </si>
  <si>
    <t>kosten</t>
  </si>
  <si>
    <t>Omschrijving</t>
  </si>
  <si>
    <t>decl.knt</t>
  </si>
  <si>
    <t>decl%</t>
  </si>
  <si>
    <t>Lesmateriaal</t>
  </si>
  <si>
    <t>Kantoor- en administratiekosten</t>
  </si>
  <si>
    <t>Kvk</t>
  </si>
  <si>
    <t>Reclame en websitekosten</t>
  </si>
  <si>
    <t>uren/mnd</t>
  </si>
  <si>
    <t>Aantal uren moet nog met 300 worden verminderd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</si>
</sst>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\-mmm\-yyyy;@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4" tint="-0.249977111117893"/>
      <name val="Arial"/>
      <family val="2"/>
    </font>
    <font>
      <sz val="11"/>
      <color rgb="FF434343"/>
      <name val="Carlito"/>
    </font>
    <font>
      <sz val="11"/>
      <color rgb="FF434343"/>
      <name val="Roboto"/>
    </font>
    <font>
      <b/>
      <sz val="11"/>
      <color theme="4" tint="-0.249977111117893"/>
      <name val="Carlito"/>
    </font>
    <font>
      <b/>
      <sz val="11"/>
      <color theme="4" tint="-0.249977111117893"/>
      <name val="Roboto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17" fontId="0" fillId="0" borderId="0" xfId="0" applyNumberFormat="1"/>
    <xf numFmtId="0" fontId="2" fillId="2" borderId="2" xfId="0" applyFont="1" applyFill="1" applyBorder="1"/>
    <xf numFmtId="2" fontId="2" fillId="2" borderId="2" xfId="0" applyNumberFormat="1" applyFont="1" applyFill="1" applyBorder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15" fontId="0" fillId="5" borderId="0" xfId="0" applyNumberFormat="1" applyFill="1"/>
    <xf numFmtId="0" fontId="1" fillId="4" borderId="2" xfId="0" applyFont="1" applyFill="1" applyBorder="1"/>
    <xf numFmtId="0" fontId="1" fillId="3" borderId="2" xfId="0" applyFont="1" applyFill="1" applyBorder="1"/>
    <xf numFmtId="2" fontId="1" fillId="4" borderId="2" xfId="0" applyNumberFormat="1" applyFont="1" applyFill="1" applyBorder="1"/>
    <xf numFmtId="2" fontId="1" fillId="3" borderId="2" xfId="0" applyNumberFormat="1" applyFont="1" applyFill="1" applyBorder="1"/>
    <xf numFmtId="2" fontId="0" fillId="4" borderId="0" xfId="0" applyNumberFormat="1" applyFill="1"/>
    <xf numFmtId="2" fontId="1" fillId="0" borderId="3" xfId="0" applyNumberFormat="1" applyFont="1" applyBorder="1"/>
    <xf numFmtId="2" fontId="3" fillId="0" borderId="0" xfId="0" applyNumberFormat="1" applyFont="1"/>
    <xf numFmtId="2" fontId="0" fillId="0" borderId="0" xfId="0" applyNumberFormat="1" applyAlignment="1">
      <alignment horizontal="right"/>
    </xf>
    <xf numFmtId="2" fontId="1" fillId="4" borderId="7" xfId="0" applyNumberFormat="1" applyFont="1" applyFill="1" applyBorder="1"/>
    <xf numFmtId="2" fontId="1" fillId="4" borderId="0" xfId="0" applyNumberFormat="1" applyFont="1" applyFill="1" applyAlignment="1">
      <alignment horizontal="right"/>
    </xf>
    <xf numFmtId="2" fontId="1" fillId="4" borderId="0" xfId="0" applyNumberFormat="1" applyFont="1" applyFill="1"/>
    <xf numFmtId="2" fontId="1" fillId="4" borderId="8" xfId="0" applyNumberFormat="1" applyFont="1" applyFill="1" applyBorder="1"/>
    <xf numFmtId="2" fontId="0" fillId="0" borderId="8" xfId="0" applyNumberFormat="1" applyBorder="1"/>
    <xf numFmtId="2" fontId="3" fillId="6" borderId="5" xfId="0" applyNumberFormat="1" applyFont="1" applyFill="1" applyBorder="1" applyAlignment="1">
      <alignment horizontal="right"/>
    </xf>
    <xf numFmtId="2" fontId="3" fillId="6" borderId="6" xfId="0" applyNumberFormat="1" applyFont="1" applyFill="1" applyBorder="1"/>
    <xf numFmtId="49" fontId="1" fillId="0" borderId="4" xfId="0" applyNumberFormat="1" applyFont="1" applyBorder="1" applyAlignment="1">
      <alignment horizontal="center"/>
    </xf>
    <xf numFmtId="49" fontId="1" fillId="0" borderId="7" xfId="0" applyNumberFormat="1" applyFont="1" applyBorder="1"/>
    <xf numFmtId="0" fontId="1" fillId="3" borderId="8" xfId="0" applyFont="1" applyFill="1" applyBorder="1"/>
    <xf numFmtId="49" fontId="0" fillId="0" borderId="7" xfId="0" applyNumberFormat="1" applyBorder="1"/>
    <xf numFmtId="49" fontId="3" fillId="0" borderId="4" xfId="0" applyNumberFormat="1" applyFont="1" applyBorder="1"/>
    <xf numFmtId="2" fontId="1" fillId="3" borderId="5" xfId="0" applyNumberFormat="1" applyFont="1" applyFill="1" applyBorder="1"/>
    <xf numFmtId="2" fontId="1" fillId="3" borderId="6" xfId="0" applyNumberFormat="1" applyFont="1" applyFill="1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2" fontId="0" fillId="0" borderId="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1" fontId="0" fillId="0" borderId="0" xfId="0" applyNumberFormat="1"/>
    <xf numFmtId="1" fontId="0" fillId="0" borderId="7" xfId="0" applyNumberFormat="1" applyBorder="1"/>
    <xf numFmtId="1" fontId="3" fillId="6" borderId="4" xfId="0" applyNumberFormat="1" applyFont="1" applyFill="1" applyBorder="1"/>
    <xf numFmtId="1" fontId="3" fillId="6" borderId="5" xfId="0" applyNumberFormat="1" applyFont="1" applyFill="1" applyBorder="1"/>
    <xf numFmtId="0" fontId="4" fillId="0" borderId="14" xfId="0" applyFont="1" applyBorder="1" applyAlignment="1">
      <alignment horizontal="right" vertical="center" wrapText="1"/>
    </xf>
    <xf numFmtId="0" fontId="5" fillId="0" borderId="15" xfId="0" applyFont="1" applyBorder="1" applyAlignment="1">
      <alignment vertical="center" wrapText="1"/>
    </xf>
    <xf numFmtId="0" fontId="4" fillId="0" borderId="17" xfId="0" applyFont="1" applyBorder="1" applyAlignment="1">
      <alignment horizontal="right" vertical="center" wrapText="1"/>
    </xf>
    <xf numFmtId="0" fontId="5" fillId="0" borderId="18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164" fontId="6" fillId="6" borderId="19" xfId="0" applyNumberFormat="1" applyFont="1" applyFill="1" applyBorder="1" applyAlignment="1">
      <alignment horizontal="center" vertical="center" wrapText="1"/>
    </xf>
    <xf numFmtId="2" fontId="6" fillId="6" borderId="20" xfId="0" applyNumberFormat="1" applyFont="1" applyFill="1" applyBorder="1" applyAlignment="1">
      <alignment horizontal="right" vertical="center" wrapText="1"/>
    </xf>
    <xf numFmtId="0" fontId="7" fillId="6" borderId="20" xfId="0" applyFont="1" applyFill="1" applyBorder="1" applyAlignment="1">
      <alignment vertical="center" wrapText="1"/>
    </xf>
    <xf numFmtId="0" fontId="0" fillId="0" borderId="21" xfId="0" applyBorder="1"/>
    <xf numFmtId="0" fontId="0" fillId="0" borderId="23" xfId="0" applyBorder="1"/>
    <xf numFmtId="0" fontId="0" fillId="0" borderId="22" xfId="0" applyBorder="1"/>
    <xf numFmtId="0" fontId="0" fillId="0" borderId="24" xfId="0" applyBorder="1" applyAlignment="1">
      <alignment horizontal="center"/>
    </xf>
    <xf numFmtId="164" fontId="4" fillId="0" borderId="24" xfId="0" applyNumberFormat="1" applyFont="1" applyBorder="1" applyAlignment="1">
      <alignment horizontal="center" vertical="center" wrapText="1"/>
    </xf>
    <xf numFmtId="0" fontId="0" fillId="0" borderId="25" xfId="0" applyBorder="1"/>
    <xf numFmtId="2" fontId="4" fillId="0" borderId="7" xfId="0" applyNumberFormat="1" applyFont="1" applyBorder="1" applyAlignment="1">
      <alignment horizontal="right" vertical="center" wrapText="1"/>
    </xf>
    <xf numFmtId="2" fontId="4" fillId="0" borderId="26" xfId="0" applyNumberFormat="1" applyFont="1" applyBorder="1" applyAlignment="1">
      <alignment horizontal="right" vertical="center" wrapText="1"/>
    </xf>
    <xf numFmtId="0" fontId="0" fillId="0" borderId="27" xfId="0" applyBorder="1"/>
    <xf numFmtId="0" fontId="0" fillId="0" borderId="8" xfId="0" applyBorder="1"/>
    <xf numFmtId="2" fontId="0" fillId="0" borderId="28" xfId="0" applyNumberFormat="1" applyBorder="1"/>
    <xf numFmtId="0" fontId="0" fillId="0" borderId="29" xfId="0" applyBorder="1"/>
    <xf numFmtId="0" fontId="5" fillId="0" borderId="23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14" fontId="0" fillId="0" borderId="1" xfId="0" applyNumberFormat="1" applyBorder="1"/>
    <xf numFmtId="1" fontId="0" fillId="0" borderId="1" xfId="0" applyNumberFormat="1" applyBorder="1"/>
    <xf numFmtId="2" fontId="1" fillId="4" borderId="4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8" fillId="7" borderId="0" xfId="0" applyNumberFormat="1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BAA5-9506-4B18-8CD3-6AA50B1D3C1F}">
  <dimension ref="A1:K29"/>
  <sheetViews>
    <sheetView tabSelected="1" topLeftCell="A7" zoomScale="110" zoomScaleNormal="110" workbookViewId="0">
      <selection activeCell="E36" sqref="E36"/>
    </sheetView>
  </sheetViews>
  <sheetFormatPr defaultRowHeight="12.75"/>
  <cols>
    <col min="1" max="1" width="21" style="5" bestFit="1" customWidth="1"/>
    <col min="2" max="2" width="8.5703125" style="2" bestFit="1" customWidth="1"/>
    <col min="3" max="3" width="19.140625" style="23" bestFit="1" customWidth="1"/>
    <col min="4" max="4" width="10.7109375" style="2" bestFit="1" customWidth="1"/>
    <col min="5" max="5" width="8.85546875" style="2" bestFit="1" customWidth="1"/>
    <col min="6" max="6" width="14.28515625" bestFit="1" customWidth="1"/>
    <col min="7" max="7" width="19.85546875" customWidth="1"/>
    <col min="9" max="9" width="24.5703125" bestFit="1" customWidth="1"/>
    <col min="10" max="10" width="9.42578125" bestFit="1" customWidth="1"/>
  </cols>
  <sheetData>
    <row r="1" spans="1:11">
      <c r="A1" s="31" t="s">
        <v>44</v>
      </c>
      <c r="B1" s="84" t="s">
        <v>45</v>
      </c>
      <c r="C1" s="85"/>
      <c r="D1" s="85"/>
      <c r="E1" s="86"/>
      <c r="F1" s="87" t="s">
        <v>46</v>
      </c>
      <c r="G1" s="88"/>
      <c r="I1" s="14" t="s">
        <v>63</v>
      </c>
      <c r="J1" s="15">
        <v>44926</v>
      </c>
      <c r="K1" s="15">
        <v>44561</v>
      </c>
    </row>
    <row r="2" spans="1:11">
      <c r="A2" s="32" t="s">
        <v>11</v>
      </c>
      <c r="B2" s="24" t="s">
        <v>1</v>
      </c>
      <c r="C2" s="25" t="s">
        <v>8</v>
      </c>
      <c r="D2" s="26" t="s">
        <v>3</v>
      </c>
      <c r="E2" s="27" t="s">
        <v>12</v>
      </c>
      <c r="F2" s="12" t="str">
        <f>IF(Prive!B1="","",Prive!B1)</f>
        <v>ELQ hyp rente</v>
      </c>
      <c r="G2" s="33" t="str">
        <f>IF(Prive!C1="","",Prive!C1)</f>
        <v>SVB -PGB Ramasray</v>
      </c>
    </row>
    <row r="3" spans="1:11">
      <c r="A3" s="34" t="s">
        <v>13</v>
      </c>
      <c r="B3" s="48">
        <v>114</v>
      </c>
      <c r="C3" s="23">
        <v>3705</v>
      </c>
      <c r="D3" s="47">
        <v>3079</v>
      </c>
      <c r="E3" s="28">
        <v>32.5</v>
      </c>
      <c r="F3" s="2" t="str">
        <f>IF(Prive!B2="","",Prive!B2)</f>
        <v/>
      </c>
      <c r="G3" s="28" t="str">
        <f>IF(Prive!C2="","",Prive!C2)</f>
        <v/>
      </c>
      <c r="I3" s="12" t="s">
        <v>47</v>
      </c>
      <c r="J3" s="12"/>
      <c r="K3" s="12"/>
    </row>
    <row r="4" spans="1:11">
      <c r="A4" s="34" t="s">
        <v>14</v>
      </c>
      <c r="B4" s="48">
        <v>123</v>
      </c>
      <c r="C4" s="23">
        <v>3997.5</v>
      </c>
      <c r="D4" s="47">
        <v>3333</v>
      </c>
      <c r="E4" s="28">
        <v>32.5</v>
      </c>
      <c r="F4" s="2">
        <f>IF(Prive!B3="","",Prive!B3)</f>
        <v>743.75</v>
      </c>
      <c r="G4" s="28" t="str">
        <f>IF(Prive!C3="","",Prive!C3)</f>
        <v/>
      </c>
      <c r="I4" s="38" t="s">
        <v>48</v>
      </c>
      <c r="J4" s="39"/>
      <c r="K4" s="40"/>
    </row>
    <row r="5" spans="1:11">
      <c r="A5" s="34" t="s">
        <v>15</v>
      </c>
      <c r="B5" s="48">
        <v>138</v>
      </c>
      <c r="C5" s="23">
        <v>4485</v>
      </c>
      <c r="D5" s="47">
        <v>3770</v>
      </c>
      <c r="E5" s="28">
        <v>32.5</v>
      </c>
      <c r="F5" s="2">
        <f>IF(Prive!B4="","",Prive!B4)</f>
        <v>725.9</v>
      </c>
      <c r="G5" s="28" t="str">
        <f>IF(Prive!C4="","",Prive!C4)</f>
        <v/>
      </c>
      <c r="I5" s="41" t="s">
        <v>49</v>
      </c>
      <c r="J5" s="2">
        <f>K5</f>
        <v>350</v>
      </c>
      <c r="K5" s="28">
        <v>350</v>
      </c>
    </row>
    <row r="6" spans="1:11">
      <c r="A6" s="34" t="s">
        <v>16</v>
      </c>
      <c r="B6" s="48">
        <v>101</v>
      </c>
      <c r="C6" s="23">
        <v>3282.5</v>
      </c>
      <c r="D6" s="47">
        <v>2744</v>
      </c>
      <c r="E6" s="28">
        <v>32.5</v>
      </c>
      <c r="F6" s="2">
        <f>IF(Prive!B5="","",Prive!B5)</f>
        <v>743.75</v>
      </c>
      <c r="G6" s="28" t="str">
        <f>IF(Prive!C5="","",Prive!C5)</f>
        <v/>
      </c>
      <c r="I6" s="41" t="s">
        <v>50</v>
      </c>
      <c r="J6" s="2">
        <f>K6</f>
        <v>150</v>
      </c>
      <c r="K6" s="28">
        <v>150</v>
      </c>
    </row>
    <row r="7" spans="1:11">
      <c r="A7" s="34" t="s">
        <v>17</v>
      </c>
      <c r="B7" s="48">
        <v>106</v>
      </c>
      <c r="C7" s="23">
        <v>3445</v>
      </c>
      <c r="D7" s="47">
        <v>2869</v>
      </c>
      <c r="E7" s="28">
        <v>32.5</v>
      </c>
      <c r="F7" s="2">
        <f>IF(Prive!B6="","",Prive!B6)</f>
        <v>743.75</v>
      </c>
      <c r="G7" s="28" t="str">
        <f>IF(Prive!C6="","",Prive!C6)</f>
        <v/>
      </c>
      <c r="I7" s="41" t="s">
        <v>51</v>
      </c>
      <c r="J7" s="2">
        <f>J5-J6</f>
        <v>200</v>
      </c>
      <c r="K7" s="28">
        <v>200</v>
      </c>
    </row>
    <row r="8" spans="1:11">
      <c r="A8" s="34" t="s">
        <v>18</v>
      </c>
      <c r="B8" s="48">
        <v>100</v>
      </c>
      <c r="C8" s="23">
        <v>3250</v>
      </c>
      <c r="D8" s="47">
        <v>2683</v>
      </c>
      <c r="E8" s="28">
        <v>32.5</v>
      </c>
      <c r="F8" s="2">
        <f>IF(Prive!B7="","",Prive!B7)</f>
        <v>741.77</v>
      </c>
      <c r="G8" s="28" t="str">
        <f>IF(Prive!C7="","",Prive!C7)</f>
        <v/>
      </c>
      <c r="I8" s="41"/>
      <c r="J8" s="2">
        <f>J7</f>
        <v>200</v>
      </c>
      <c r="K8" s="28">
        <v>200</v>
      </c>
    </row>
    <row r="9" spans="1:11">
      <c r="A9" s="34" t="s">
        <v>19</v>
      </c>
      <c r="B9" s="48">
        <v>112</v>
      </c>
      <c r="C9" s="23">
        <v>3640</v>
      </c>
      <c r="D9" s="47">
        <v>2977</v>
      </c>
      <c r="E9" s="28">
        <v>32.5</v>
      </c>
      <c r="F9" s="2">
        <f>IF(Prive!B8="","",Prive!B8)</f>
        <v>747.72</v>
      </c>
      <c r="G9" s="28" t="str">
        <f>IF(Prive!C8="","",Prive!C8)</f>
        <v/>
      </c>
      <c r="I9" s="41" t="s">
        <v>52</v>
      </c>
      <c r="J9" s="2"/>
      <c r="K9" s="28"/>
    </row>
    <row r="10" spans="1:11">
      <c r="A10" s="34" t="s">
        <v>20</v>
      </c>
      <c r="B10" s="48">
        <v>140</v>
      </c>
      <c r="C10" s="23">
        <v>4550</v>
      </c>
      <c r="D10" s="47">
        <v>3769</v>
      </c>
      <c r="E10" s="28">
        <v>32.5</v>
      </c>
      <c r="F10" s="2">
        <f>IF(Prive!B9="","",Prive!B9)</f>
        <v>805.23</v>
      </c>
      <c r="G10" s="28" t="str">
        <f>IF(Prive!C9="","",Prive!C9)</f>
        <v/>
      </c>
      <c r="I10" s="41" t="s">
        <v>65</v>
      </c>
      <c r="J10" s="2">
        <f>22*E8</f>
        <v>715</v>
      </c>
      <c r="K10" s="28">
        <v>817</v>
      </c>
    </row>
    <row r="11" spans="1:11">
      <c r="A11" s="34" t="s">
        <v>21</v>
      </c>
      <c r="B11" s="48">
        <v>143</v>
      </c>
      <c r="C11" s="23">
        <v>4647.5</v>
      </c>
      <c r="D11" s="47">
        <v>3843</v>
      </c>
      <c r="E11" s="28">
        <v>32.5</v>
      </c>
      <c r="F11" s="2">
        <f>IF(Prive!B10="","",Prive!B10)</f>
        <v>866.72</v>
      </c>
      <c r="G11" s="28" t="str">
        <f>IF(Prive!C10="","",Prive!C10)</f>
        <v/>
      </c>
      <c r="I11" s="41"/>
      <c r="J11" s="2">
        <f>J10</f>
        <v>715</v>
      </c>
      <c r="K11" s="28">
        <v>817</v>
      </c>
    </row>
    <row r="12" spans="1:11">
      <c r="A12" s="34" t="s">
        <v>22</v>
      </c>
      <c r="B12" s="48">
        <v>137</v>
      </c>
      <c r="C12" s="23">
        <v>4452.5</v>
      </c>
      <c r="D12" s="47">
        <v>3683</v>
      </c>
      <c r="E12" s="28">
        <v>32.5</v>
      </c>
      <c r="F12" s="2">
        <f>IF(Prive!B11="","",Prive!B11)</f>
        <v>989.68</v>
      </c>
      <c r="G12" s="28" t="str">
        <f>IF(Prive!C11="","",Prive!C11)</f>
        <v/>
      </c>
      <c r="I12" s="41" t="s">
        <v>53</v>
      </c>
      <c r="J12" s="2"/>
      <c r="K12" s="28"/>
    </row>
    <row r="13" spans="1:11">
      <c r="A13" s="34" t="s">
        <v>23</v>
      </c>
      <c r="B13" s="48">
        <v>131</v>
      </c>
      <c r="C13" s="23">
        <v>4257.5</v>
      </c>
      <c r="D13" s="47">
        <v>3505</v>
      </c>
      <c r="E13" s="28">
        <v>32.5</v>
      </c>
      <c r="F13" s="2" t="str">
        <f>IF(Prive!B12="","",Prive!B12)</f>
        <v/>
      </c>
      <c r="G13" s="28" t="str">
        <f>IF(Prive!C12="","",Prive!C12)</f>
        <v/>
      </c>
      <c r="I13" s="41" t="s">
        <v>54</v>
      </c>
      <c r="J13" s="2">
        <f>J27-J8-J11-J14</f>
        <v>42440.584799999997</v>
      </c>
      <c r="K13" s="28">
        <v>15641.8748</v>
      </c>
    </row>
    <row r="14" spans="1:11">
      <c r="A14" s="34" t="s">
        <v>24</v>
      </c>
      <c r="B14" s="48">
        <v>110</v>
      </c>
      <c r="C14" s="23">
        <v>3575</v>
      </c>
      <c r="D14" s="47">
        <v>2959</v>
      </c>
      <c r="E14" s="28">
        <v>32.5</v>
      </c>
      <c r="F14" s="2">
        <f>IF(Prive!B13="","",Prive!B13)</f>
        <v>1049.18</v>
      </c>
      <c r="G14" s="28" t="str">
        <f>IF(Prive!C13="","",Prive!C13)</f>
        <v/>
      </c>
      <c r="I14" s="41" t="s">
        <v>55</v>
      </c>
      <c r="J14" s="2">
        <v>-31200</v>
      </c>
      <c r="K14" s="28">
        <v>-8300</v>
      </c>
    </row>
    <row r="15" spans="1:11">
      <c r="A15" s="34"/>
      <c r="B15" s="48"/>
      <c r="E15" s="28"/>
      <c r="F15" s="2"/>
      <c r="G15" s="28"/>
      <c r="I15" s="42"/>
      <c r="J15" s="43">
        <f>E335</f>
        <v>0</v>
      </c>
      <c r="K15" s="44">
        <v>7341.8747999999996</v>
      </c>
    </row>
    <row r="16" spans="1:11">
      <c r="A16" s="35" t="s">
        <v>4</v>
      </c>
      <c r="B16" s="49">
        <f>SUM(B3:B14)</f>
        <v>1455</v>
      </c>
      <c r="C16" s="29">
        <f>SUM(C3:C14)</f>
        <v>47287.5</v>
      </c>
      <c r="D16" s="50">
        <f>SUM(D3:D14)</f>
        <v>39214</v>
      </c>
      <c r="E16" s="30">
        <v>32.5</v>
      </c>
      <c r="F16" s="36">
        <f>IF(COUNT(F3:F14)=0,"",SUM(F3:F14))</f>
        <v>8157.4500000000016</v>
      </c>
      <c r="G16" s="37" t="str">
        <f>IF(COUNT(G3:G14)=0,"",SUM(G3:G14))</f>
        <v/>
      </c>
      <c r="I16" s="17" t="s">
        <v>56</v>
      </c>
      <c r="J16" s="19">
        <f>SUM(J8,J11,J15)</f>
        <v>915</v>
      </c>
      <c r="K16" s="19">
        <v>8358.8747999999996</v>
      </c>
    </row>
    <row r="17" spans="1:11">
      <c r="J17" s="2"/>
      <c r="K17" s="2"/>
    </row>
    <row r="18" spans="1:11">
      <c r="I18" s="13" t="s">
        <v>57</v>
      </c>
      <c r="J18" s="20"/>
      <c r="K18" s="20"/>
    </row>
    <row r="19" spans="1:11">
      <c r="A19" s="6" t="s">
        <v>66</v>
      </c>
      <c r="I19" s="38" t="s">
        <v>58</v>
      </c>
      <c r="J19" s="45">
        <f>K19+$B25+J14</f>
        <v>12155.584799999997</v>
      </c>
      <c r="K19" s="46">
        <v>9467.4547999999995</v>
      </c>
    </row>
    <row r="20" spans="1:11">
      <c r="A20" s="2" t="s">
        <v>25</v>
      </c>
      <c r="B20" s="2">
        <f>C16</f>
        <v>47287.5</v>
      </c>
      <c r="I20" s="41"/>
      <c r="J20" s="2"/>
      <c r="K20" s="28"/>
    </row>
    <row r="21" spans="1:11">
      <c r="A21" s="2" t="s">
        <v>26</v>
      </c>
      <c r="B21" s="2">
        <f>Kosten!D68</f>
        <v>4019.4850000000006</v>
      </c>
      <c r="I21" s="41" t="s">
        <v>59</v>
      </c>
      <c r="J21" s="2">
        <f>K21</f>
        <v>0</v>
      </c>
      <c r="K21" s="28">
        <v>0</v>
      </c>
    </row>
    <row r="22" spans="1:11">
      <c r="A22" s="2" t="s">
        <v>27</v>
      </c>
      <c r="B22" s="2">
        <f>D16*0.23</f>
        <v>9019.2200000000012</v>
      </c>
      <c r="I22" s="41" t="s">
        <v>60</v>
      </c>
      <c r="J22" s="2">
        <f>K22</f>
        <v>0</v>
      </c>
      <c r="K22" s="28">
        <v>0</v>
      </c>
    </row>
    <row r="23" spans="1:11">
      <c r="A23" s="2" t="s">
        <v>28</v>
      </c>
      <c r="B23" s="2">
        <v>306.39999999999998</v>
      </c>
      <c r="I23" s="41"/>
      <c r="J23" s="2"/>
      <c r="K23" s="28"/>
    </row>
    <row r="24" spans="1:11" ht="13.5" thickBot="1">
      <c r="A24" s="21" t="s">
        <v>29</v>
      </c>
      <c r="B24" s="21">
        <v>13399.37</v>
      </c>
      <c r="I24" s="41" t="s">
        <v>61</v>
      </c>
      <c r="J24" s="2">
        <f>K24</f>
        <v>0</v>
      </c>
      <c r="K24" s="28">
        <v>0</v>
      </c>
    </row>
    <row r="25" spans="1:11" ht="13.5" thickTop="1">
      <c r="A25" s="22" t="s">
        <v>30</v>
      </c>
      <c r="B25" s="22">
        <f>B20-B24</f>
        <v>33888.129999999997</v>
      </c>
      <c r="I25" s="41" t="s">
        <v>62</v>
      </c>
      <c r="J25" s="2">
        <f>SUM(J21:J24)</f>
        <v>0</v>
      </c>
      <c r="K25" s="28">
        <v>0</v>
      </c>
    </row>
    <row r="26" spans="1:11">
      <c r="C26" s="23">
        <f>B24+B25</f>
        <v>47287.5</v>
      </c>
      <c r="I26" s="42"/>
      <c r="J26" s="43"/>
      <c r="K26" s="44"/>
    </row>
    <row r="27" spans="1:11">
      <c r="I27" s="16" t="s">
        <v>56</v>
      </c>
      <c r="J27" s="18">
        <f>SUM(J19,J21:J25)</f>
        <v>12155.584799999997</v>
      </c>
      <c r="K27" s="18">
        <v>9467.4547999999995</v>
      </c>
    </row>
    <row r="29" spans="1:11">
      <c r="A29" s="89" t="s">
        <v>91</v>
      </c>
      <c r="B29" s="90"/>
      <c r="C29" s="91"/>
    </row>
  </sheetData>
  <mergeCells count="2">
    <mergeCell ref="B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C224-20A6-4359-9DB4-69EEEBE5A8EF}">
  <dimension ref="A1:E312"/>
  <sheetViews>
    <sheetView topLeftCell="A70" workbookViewId="0">
      <selection activeCell="I7" sqref="I7"/>
    </sheetView>
  </sheetViews>
  <sheetFormatPr defaultRowHeight="12.75"/>
  <cols>
    <col min="1" max="1" width="14.7109375" style="1" customWidth="1"/>
    <col min="2" max="2" width="14.140625" style="2" customWidth="1"/>
    <col min="3" max="3" width="12.28515625" style="2" customWidth="1"/>
    <col min="4" max="4" width="12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90</v>
      </c>
    </row>
    <row r="2" spans="1:5">
      <c r="A2" s="1">
        <v>44564</v>
      </c>
      <c r="B2" s="47">
        <v>4</v>
      </c>
      <c r="C2" s="47">
        <v>26.25</v>
      </c>
      <c r="D2" s="47">
        <v>105</v>
      </c>
      <c r="E2" s="47"/>
    </row>
    <row r="3" spans="1:5">
      <c r="A3" s="1">
        <v>44565</v>
      </c>
      <c r="B3" s="47">
        <v>3</v>
      </c>
      <c r="C3" s="47">
        <v>25.67</v>
      </c>
      <c r="D3" s="47">
        <v>77</v>
      </c>
      <c r="E3" s="47"/>
    </row>
    <row r="4" spans="1:5">
      <c r="A4" s="1">
        <v>44566</v>
      </c>
      <c r="B4" s="47">
        <v>5</v>
      </c>
      <c r="C4" s="47">
        <v>28</v>
      </c>
      <c r="D4" s="47">
        <v>140</v>
      </c>
      <c r="E4" s="47"/>
    </row>
    <row r="5" spans="1:5">
      <c r="A5" s="1">
        <v>44567</v>
      </c>
      <c r="B5" s="47">
        <v>5</v>
      </c>
      <c r="C5" s="47">
        <v>26.8</v>
      </c>
      <c r="D5" s="47">
        <v>134</v>
      </c>
      <c r="E5" s="47"/>
    </row>
    <row r="6" spans="1:5">
      <c r="A6" s="1">
        <v>44568</v>
      </c>
      <c r="B6" s="47">
        <v>3</v>
      </c>
      <c r="C6" s="47">
        <v>25.67</v>
      </c>
      <c r="D6" s="47">
        <v>77</v>
      </c>
      <c r="E6" s="47"/>
    </row>
    <row r="7" spans="1:5">
      <c r="A7" s="1">
        <v>44569</v>
      </c>
      <c r="B7" s="47">
        <v>5</v>
      </c>
      <c r="C7" s="47">
        <v>26.4</v>
      </c>
      <c r="D7" s="47">
        <v>132</v>
      </c>
      <c r="E7" s="47"/>
    </row>
    <row r="8" spans="1:5">
      <c r="A8" s="1">
        <v>44571</v>
      </c>
      <c r="B8" s="47">
        <v>5</v>
      </c>
      <c r="C8" s="47">
        <v>27.8</v>
      </c>
      <c r="D8" s="47">
        <v>139</v>
      </c>
      <c r="E8" s="47"/>
    </row>
    <row r="9" spans="1:5">
      <c r="A9" s="1">
        <v>44572</v>
      </c>
      <c r="B9" s="47">
        <v>6</v>
      </c>
      <c r="C9" s="47">
        <v>29.17</v>
      </c>
      <c r="D9" s="47">
        <v>175</v>
      </c>
      <c r="E9" s="47"/>
    </row>
    <row r="10" spans="1:5">
      <c r="A10" s="1">
        <v>44573</v>
      </c>
      <c r="B10" s="47">
        <v>3</v>
      </c>
      <c r="C10" s="47">
        <v>25</v>
      </c>
      <c r="D10" s="47">
        <v>75</v>
      </c>
      <c r="E10" s="47"/>
    </row>
    <row r="11" spans="1:5">
      <c r="A11" s="1">
        <v>44574</v>
      </c>
      <c r="B11" s="47">
        <v>2</v>
      </c>
      <c r="C11" s="47">
        <v>26.5</v>
      </c>
      <c r="D11" s="47">
        <v>53</v>
      </c>
      <c r="E11" s="47"/>
    </row>
    <row r="12" spans="1:5">
      <c r="A12" s="1">
        <v>44575</v>
      </c>
      <c r="B12" s="47">
        <v>6</v>
      </c>
      <c r="C12" s="47">
        <v>27.17</v>
      </c>
      <c r="D12" s="47">
        <v>163</v>
      </c>
      <c r="E12" s="47"/>
    </row>
    <row r="13" spans="1:5">
      <c r="A13" s="1">
        <v>44576</v>
      </c>
      <c r="B13" s="47">
        <v>6</v>
      </c>
      <c r="C13" s="47">
        <v>25.67</v>
      </c>
      <c r="D13" s="47">
        <v>154</v>
      </c>
      <c r="E13" s="47"/>
    </row>
    <row r="14" spans="1:5">
      <c r="A14" s="1">
        <v>44578</v>
      </c>
      <c r="B14" s="47">
        <v>4</v>
      </c>
      <c r="C14" s="47">
        <v>27.75</v>
      </c>
      <c r="D14" s="47">
        <v>111</v>
      </c>
      <c r="E14" s="47"/>
    </row>
    <row r="15" spans="1:5">
      <c r="A15" s="1">
        <v>44579</v>
      </c>
      <c r="B15" s="47">
        <v>5</v>
      </c>
      <c r="C15" s="47">
        <v>27.8</v>
      </c>
      <c r="D15" s="47">
        <v>139</v>
      </c>
      <c r="E15" s="47"/>
    </row>
    <row r="16" spans="1:5">
      <c r="A16" s="1">
        <v>44580</v>
      </c>
      <c r="B16" s="47">
        <v>6</v>
      </c>
      <c r="C16" s="47">
        <v>26.5</v>
      </c>
      <c r="D16" s="47">
        <v>159</v>
      </c>
      <c r="E16" s="47"/>
    </row>
    <row r="17" spans="1:5">
      <c r="A17" s="1">
        <v>44581</v>
      </c>
      <c r="B17" s="47">
        <v>5</v>
      </c>
      <c r="C17" s="47">
        <v>27.4</v>
      </c>
      <c r="D17" s="47">
        <v>137</v>
      </c>
      <c r="E17" s="47"/>
    </row>
    <row r="18" spans="1:5">
      <c r="A18" s="1">
        <v>44582</v>
      </c>
      <c r="B18" s="47">
        <v>5</v>
      </c>
      <c r="C18" s="47">
        <v>26.2</v>
      </c>
      <c r="D18" s="47">
        <v>131</v>
      </c>
      <c r="E18" s="47"/>
    </row>
    <row r="19" spans="1:5">
      <c r="A19" s="1">
        <v>44583</v>
      </c>
      <c r="B19" s="47">
        <v>3</v>
      </c>
      <c r="C19" s="47">
        <v>27.67</v>
      </c>
      <c r="D19" s="47">
        <v>83</v>
      </c>
      <c r="E19" s="47"/>
    </row>
    <row r="20" spans="1:5">
      <c r="A20" s="1">
        <v>44585</v>
      </c>
      <c r="B20" s="47">
        <v>5</v>
      </c>
      <c r="C20" s="47">
        <v>27.8</v>
      </c>
      <c r="D20" s="47">
        <v>139</v>
      </c>
      <c r="E20" s="47"/>
    </row>
    <row r="21" spans="1:5">
      <c r="A21" s="1">
        <v>44586</v>
      </c>
      <c r="B21" s="47">
        <v>5</v>
      </c>
      <c r="C21" s="47">
        <v>27.4</v>
      </c>
      <c r="D21" s="47">
        <v>137</v>
      </c>
      <c r="E21" s="47"/>
    </row>
    <row r="22" spans="1:5">
      <c r="A22" s="1">
        <v>44587</v>
      </c>
      <c r="B22" s="47">
        <v>5</v>
      </c>
      <c r="C22" s="47">
        <v>26</v>
      </c>
      <c r="D22" s="47">
        <v>130</v>
      </c>
      <c r="E22" s="47"/>
    </row>
    <row r="23" spans="1:5">
      <c r="A23" s="1">
        <v>44588</v>
      </c>
      <c r="B23" s="47">
        <v>4</v>
      </c>
      <c r="C23" s="47">
        <v>28.5</v>
      </c>
      <c r="D23" s="47">
        <v>114</v>
      </c>
      <c r="E23" s="47"/>
    </row>
    <row r="24" spans="1:5">
      <c r="A24" s="1">
        <v>44589</v>
      </c>
      <c r="B24" s="47">
        <v>5</v>
      </c>
      <c r="C24" s="47">
        <v>27.4</v>
      </c>
      <c r="D24" s="47">
        <v>137</v>
      </c>
      <c r="E24" s="47"/>
    </row>
    <row r="25" spans="1:5">
      <c r="A25" s="1">
        <v>44590</v>
      </c>
      <c r="B25" s="47">
        <v>4</v>
      </c>
      <c r="C25" s="47">
        <v>28.25</v>
      </c>
      <c r="D25" s="47">
        <v>113</v>
      </c>
      <c r="E25" s="47"/>
    </row>
    <row r="26" spans="1:5">
      <c r="A26" s="82">
        <v>44592</v>
      </c>
      <c r="B26" s="83">
        <v>5</v>
      </c>
      <c r="C26" s="83">
        <v>25</v>
      </c>
      <c r="D26" s="83">
        <v>125</v>
      </c>
      <c r="E26" s="83">
        <f>SUM(B2:B26)</f>
        <v>114</v>
      </c>
    </row>
    <row r="27" spans="1:5">
      <c r="A27" s="1">
        <v>44593</v>
      </c>
      <c r="B27" s="47">
        <v>6</v>
      </c>
      <c r="C27" s="47">
        <v>26.83</v>
      </c>
      <c r="D27" s="47">
        <v>161</v>
      </c>
      <c r="E27" s="47"/>
    </row>
    <row r="28" spans="1:5">
      <c r="A28" s="1">
        <v>44594</v>
      </c>
      <c r="B28" s="47">
        <v>6</v>
      </c>
      <c r="C28" s="47">
        <v>27</v>
      </c>
      <c r="D28" s="47">
        <v>162</v>
      </c>
      <c r="E28" s="47"/>
    </row>
    <row r="29" spans="1:5">
      <c r="A29" s="1">
        <v>44595</v>
      </c>
      <c r="B29" s="47">
        <v>5</v>
      </c>
      <c r="C29" s="47">
        <v>26.2</v>
      </c>
      <c r="D29" s="47">
        <v>131</v>
      </c>
      <c r="E29" s="47"/>
    </row>
    <row r="30" spans="1:5">
      <c r="A30" s="1">
        <v>44596</v>
      </c>
      <c r="B30" s="47">
        <v>2</v>
      </c>
      <c r="C30" s="47">
        <v>27</v>
      </c>
      <c r="D30" s="47">
        <v>54</v>
      </c>
      <c r="E30" s="47"/>
    </row>
    <row r="31" spans="1:5">
      <c r="A31" s="1">
        <v>44597</v>
      </c>
      <c r="B31" s="47">
        <v>5</v>
      </c>
      <c r="C31" s="47">
        <v>28.8</v>
      </c>
      <c r="D31" s="47">
        <v>144</v>
      </c>
      <c r="E31" s="47"/>
    </row>
    <row r="32" spans="1:5">
      <c r="A32" s="1">
        <v>44599</v>
      </c>
      <c r="B32" s="47">
        <v>4</v>
      </c>
      <c r="C32" s="47">
        <v>28.75</v>
      </c>
      <c r="D32" s="47">
        <v>115</v>
      </c>
      <c r="E32" s="47"/>
    </row>
    <row r="33" spans="1:5">
      <c r="A33" s="1">
        <v>44600</v>
      </c>
      <c r="B33" s="47">
        <v>6</v>
      </c>
      <c r="C33" s="47">
        <v>25.33</v>
      </c>
      <c r="D33" s="47">
        <v>152</v>
      </c>
      <c r="E33" s="47"/>
    </row>
    <row r="34" spans="1:5">
      <c r="A34" s="1">
        <v>44601</v>
      </c>
      <c r="B34" s="47">
        <v>6</v>
      </c>
      <c r="C34" s="47">
        <v>27.33</v>
      </c>
      <c r="D34" s="47">
        <v>164</v>
      </c>
      <c r="E34" s="47"/>
    </row>
    <row r="35" spans="1:5">
      <c r="A35" s="1">
        <v>44602</v>
      </c>
      <c r="B35" s="47">
        <v>6</v>
      </c>
      <c r="C35" s="47">
        <v>26.83</v>
      </c>
      <c r="D35" s="47">
        <v>161</v>
      </c>
      <c r="E35" s="47"/>
    </row>
    <row r="36" spans="1:5">
      <c r="A36" s="1">
        <v>44603</v>
      </c>
      <c r="B36" s="47">
        <v>6</v>
      </c>
      <c r="C36" s="47">
        <v>27.83</v>
      </c>
      <c r="D36" s="47">
        <v>167</v>
      </c>
      <c r="E36" s="47"/>
    </row>
    <row r="37" spans="1:5">
      <c r="A37" s="1">
        <v>44604</v>
      </c>
      <c r="B37" s="47">
        <v>2</v>
      </c>
      <c r="C37" s="47">
        <v>27.5</v>
      </c>
      <c r="D37" s="47">
        <v>55</v>
      </c>
      <c r="E37" s="47"/>
    </row>
    <row r="38" spans="1:5">
      <c r="A38" s="1">
        <v>44606</v>
      </c>
      <c r="B38" s="47">
        <v>5</v>
      </c>
      <c r="C38" s="47">
        <v>28</v>
      </c>
      <c r="D38" s="47">
        <v>140</v>
      </c>
      <c r="E38" s="47"/>
    </row>
    <row r="39" spans="1:5">
      <c r="A39" s="1">
        <v>44607</v>
      </c>
      <c r="B39" s="47">
        <v>5</v>
      </c>
      <c r="C39" s="47">
        <v>26.6</v>
      </c>
      <c r="D39" s="47">
        <v>133</v>
      </c>
      <c r="E39" s="47"/>
    </row>
    <row r="40" spans="1:5">
      <c r="A40" s="1">
        <v>44608</v>
      </c>
      <c r="B40" s="47">
        <v>6</v>
      </c>
      <c r="C40" s="47">
        <v>26.67</v>
      </c>
      <c r="D40" s="47">
        <v>160</v>
      </c>
      <c r="E40" s="47"/>
    </row>
    <row r="41" spans="1:5">
      <c r="A41" s="1">
        <v>44609</v>
      </c>
      <c r="B41" s="47">
        <v>5</v>
      </c>
      <c r="C41" s="47">
        <v>27.6</v>
      </c>
      <c r="D41" s="47">
        <v>138</v>
      </c>
      <c r="E41" s="47"/>
    </row>
    <row r="42" spans="1:5">
      <c r="A42" s="1">
        <v>44610</v>
      </c>
      <c r="B42" s="47">
        <v>6</v>
      </c>
      <c r="C42" s="47">
        <v>27.67</v>
      </c>
      <c r="D42" s="47">
        <v>166</v>
      </c>
      <c r="E42" s="47"/>
    </row>
    <row r="43" spans="1:5">
      <c r="A43" s="1">
        <v>44611</v>
      </c>
      <c r="B43" s="47">
        <v>6</v>
      </c>
      <c r="C43" s="47">
        <v>26.67</v>
      </c>
      <c r="D43" s="47">
        <v>160</v>
      </c>
      <c r="E43" s="47"/>
    </row>
    <row r="44" spans="1:5">
      <c r="A44" s="1">
        <v>44613</v>
      </c>
      <c r="B44" s="47">
        <v>6</v>
      </c>
      <c r="C44" s="47">
        <v>28</v>
      </c>
      <c r="D44" s="47">
        <v>168</v>
      </c>
      <c r="E44" s="47"/>
    </row>
    <row r="45" spans="1:5">
      <c r="A45" s="1">
        <v>44614</v>
      </c>
      <c r="B45" s="47">
        <v>4</v>
      </c>
      <c r="C45" s="47">
        <v>24.75</v>
      </c>
      <c r="D45" s="47">
        <v>99</v>
      </c>
      <c r="E45" s="47"/>
    </row>
    <row r="46" spans="1:5">
      <c r="A46" s="1">
        <v>44615</v>
      </c>
      <c r="B46" s="47">
        <v>6</v>
      </c>
      <c r="C46" s="47">
        <v>27.83</v>
      </c>
      <c r="D46" s="47">
        <v>167</v>
      </c>
      <c r="E46" s="47"/>
    </row>
    <row r="47" spans="1:5">
      <c r="A47" s="1">
        <v>44616</v>
      </c>
      <c r="B47" s="47">
        <v>4</v>
      </c>
      <c r="C47" s="47">
        <v>28.5</v>
      </c>
      <c r="D47" s="47">
        <v>114</v>
      </c>
      <c r="E47" s="47"/>
    </row>
    <row r="48" spans="1:5">
      <c r="A48" s="1">
        <v>44617</v>
      </c>
      <c r="B48" s="47">
        <v>6</v>
      </c>
      <c r="C48" s="47">
        <v>25.5</v>
      </c>
      <c r="D48" s="47">
        <v>153</v>
      </c>
      <c r="E48" s="47"/>
    </row>
    <row r="49" spans="1:5">
      <c r="A49" s="1">
        <v>44618</v>
      </c>
      <c r="B49" s="47">
        <v>6</v>
      </c>
      <c r="C49" s="47">
        <v>26.83</v>
      </c>
      <c r="D49" s="47">
        <v>161</v>
      </c>
      <c r="E49" s="47"/>
    </row>
    <row r="50" spans="1:5">
      <c r="A50" s="82">
        <v>44620</v>
      </c>
      <c r="B50" s="83">
        <v>4</v>
      </c>
      <c r="C50" s="83">
        <v>27</v>
      </c>
      <c r="D50" s="83">
        <v>108</v>
      </c>
      <c r="E50" s="83">
        <f>SUM(B27:B50)</f>
        <v>123</v>
      </c>
    </row>
    <row r="51" spans="1:5">
      <c r="A51" s="1">
        <v>44621</v>
      </c>
      <c r="B51" s="47">
        <v>6</v>
      </c>
      <c r="C51" s="47">
        <v>28.33</v>
      </c>
      <c r="D51" s="47">
        <v>170</v>
      </c>
      <c r="E51" s="47"/>
    </row>
    <row r="52" spans="1:5">
      <c r="A52" s="1">
        <v>44622</v>
      </c>
      <c r="B52" s="47">
        <v>5</v>
      </c>
      <c r="C52" s="47">
        <v>29.4</v>
      </c>
      <c r="D52" s="47">
        <v>147</v>
      </c>
      <c r="E52" s="47"/>
    </row>
    <row r="53" spans="1:5">
      <c r="A53" s="1">
        <v>44623</v>
      </c>
      <c r="B53" s="47">
        <v>5</v>
      </c>
      <c r="C53" s="47">
        <v>27.4</v>
      </c>
      <c r="D53" s="47">
        <v>137</v>
      </c>
      <c r="E53" s="47"/>
    </row>
    <row r="54" spans="1:5">
      <c r="A54" s="1">
        <v>44624</v>
      </c>
      <c r="B54" s="47">
        <v>4</v>
      </c>
      <c r="C54" s="47">
        <v>25</v>
      </c>
      <c r="D54" s="47">
        <v>100</v>
      </c>
      <c r="E54" s="47"/>
    </row>
    <row r="55" spans="1:5">
      <c r="A55" s="1">
        <v>44625</v>
      </c>
      <c r="B55" s="47">
        <v>6</v>
      </c>
      <c r="C55" s="47">
        <v>26.5</v>
      </c>
      <c r="D55" s="47">
        <v>159</v>
      </c>
      <c r="E55" s="47"/>
    </row>
    <row r="56" spans="1:5">
      <c r="A56" s="1">
        <v>44627</v>
      </c>
      <c r="B56" s="47">
        <v>6</v>
      </c>
      <c r="C56" s="47">
        <v>27.67</v>
      </c>
      <c r="D56" s="47">
        <v>166</v>
      </c>
      <c r="E56" s="47"/>
    </row>
    <row r="57" spans="1:5">
      <c r="A57" s="1">
        <v>44628</v>
      </c>
      <c r="B57" s="47">
        <v>6</v>
      </c>
      <c r="C57" s="47">
        <v>27.83</v>
      </c>
      <c r="D57" s="47">
        <v>167</v>
      </c>
      <c r="E57" s="47"/>
    </row>
    <row r="58" spans="1:5">
      <c r="A58" s="1">
        <v>44629</v>
      </c>
      <c r="B58" s="47">
        <v>5</v>
      </c>
      <c r="C58" s="47">
        <v>27.2</v>
      </c>
      <c r="D58" s="47">
        <v>136</v>
      </c>
      <c r="E58" s="47"/>
    </row>
    <row r="59" spans="1:5">
      <c r="A59" s="1">
        <v>44630</v>
      </c>
      <c r="B59" s="47">
        <v>6</v>
      </c>
      <c r="C59" s="47">
        <v>27</v>
      </c>
      <c r="D59" s="47">
        <v>162</v>
      </c>
      <c r="E59" s="47"/>
    </row>
    <row r="60" spans="1:5">
      <c r="A60" s="1">
        <v>44631</v>
      </c>
      <c r="B60" s="47">
        <v>3</v>
      </c>
      <c r="C60" s="47">
        <v>29</v>
      </c>
      <c r="D60" s="47">
        <v>87</v>
      </c>
      <c r="E60" s="47"/>
    </row>
    <row r="61" spans="1:5">
      <c r="A61" s="1">
        <v>44632</v>
      </c>
      <c r="B61" s="47">
        <v>5</v>
      </c>
      <c r="C61" s="47">
        <v>29</v>
      </c>
      <c r="D61" s="47">
        <v>145</v>
      </c>
      <c r="E61" s="47"/>
    </row>
    <row r="62" spans="1:5">
      <c r="A62" s="1">
        <v>44634</v>
      </c>
      <c r="B62" s="47">
        <v>5</v>
      </c>
      <c r="C62" s="47">
        <v>27.2</v>
      </c>
      <c r="D62" s="47">
        <v>136</v>
      </c>
      <c r="E62" s="47"/>
    </row>
    <row r="63" spans="1:5">
      <c r="A63" s="1">
        <v>44635</v>
      </c>
      <c r="B63" s="47">
        <v>6</v>
      </c>
      <c r="C63" s="47">
        <v>27.33</v>
      </c>
      <c r="D63" s="47">
        <v>164</v>
      </c>
      <c r="E63" s="47"/>
    </row>
    <row r="64" spans="1:5">
      <c r="A64" s="1">
        <v>44636</v>
      </c>
      <c r="B64" s="47">
        <v>5</v>
      </c>
      <c r="C64" s="47">
        <v>26.6</v>
      </c>
      <c r="D64" s="47">
        <v>133</v>
      </c>
      <c r="E64" s="47"/>
    </row>
    <row r="65" spans="1:5">
      <c r="A65" s="1">
        <v>44637</v>
      </c>
      <c r="B65" s="47">
        <v>6</v>
      </c>
      <c r="C65" s="47">
        <v>26.33</v>
      </c>
      <c r="D65" s="47">
        <v>158</v>
      </c>
      <c r="E65" s="47"/>
    </row>
    <row r="66" spans="1:5">
      <c r="A66" s="1">
        <v>44638</v>
      </c>
      <c r="B66" s="47">
        <v>4</v>
      </c>
      <c r="C66" s="47">
        <v>26.5</v>
      </c>
      <c r="D66" s="47">
        <v>106</v>
      </c>
      <c r="E66" s="47"/>
    </row>
    <row r="67" spans="1:5">
      <c r="A67" s="1">
        <v>44639</v>
      </c>
      <c r="B67" s="47">
        <v>5</v>
      </c>
      <c r="C67" s="47">
        <v>27.6</v>
      </c>
      <c r="D67" s="47">
        <v>138</v>
      </c>
      <c r="E67" s="47"/>
    </row>
    <row r="68" spans="1:5">
      <c r="A68" s="1">
        <v>44641</v>
      </c>
      <c r="B68" s="47">
        <v>6</v>
      </c>
      <c r="C68" s="47">
        <v>28.5</v>
      </c>
      <c r="D68" s="47">
        <v>171</v>
      </c>
      <c r="E68" s="47"/>
    </row>
    <row r="69" spans="1:5">
      <c r="A69" s="1">
        <v>44642</v>
      </c>
      <c r="B69" s="47">
        <v>6</v>
      </c>
      <c r="C69" s="47">
        <v>26.83</v>
      </c>
      <c r="D69" s="47">
        <v>161</v>
      </c>
      <c r="E69" s="47"/>
    </row>
    <row r="70" spans="1:5">
      <c r="A70" s="1">
        <v>44643</v>
      </c>
      <c r="B70" s="47">
        <v>3</v>
      </c>
      <c r="C70" s="47">
        <v>26.67</v>
      </c>
      <c r="D70" s="47">
        <v>80</v>
      </c>
      <c r="E70" s="47"/>
    </row>
    <row r="71" spans="1:5">
      <c r="A71" s="1">
        <v>44644</v>
      </c>
      <c r="B71" s="47">
        <v>6</v>
      </c>
      <c r="C71" s="47">
        <v>26.17</v>
      </c>
      <c r="D71" s="47">
        <v>157</v>
      </c>
      <c r="E71" s="47"/>
    </row>
    <row r="72" spans="1:5">
      <c r="A72" s="1">
        <v>44645</v>
      </c>
      <c r="B72" s="47">
        <v>4</v>
      </c>
      <c r="C72" s="47">
        <v>27</v>
      </c>
      <c r="D72" s="47">
        <v>108</v>
      </c>
      <c r="E72" s="47"/>
    </row>
    <row r="73" spans="1:5">
      <c r="A73" s="1">
        <v>44646</v>
      </c>
      <c r="B73" s="47">
        <v>5</v>
      </c>
      <c r="C73" s="47">
        <v>27.8</v>
      </c>
      <c r="D73" s="47">
        <v>139</v>
      </c>
      <c r="E73" s="47"/>
    </row>
    <row r="74" spans="1:5">
      <c r="A74" s="1">
        <v>44648</v>
      </c>
      <c r="B74" s="47">
        <v>6</v>
      </c>
      <c r="C74" s="47">
        <v>27</v>
      </c>
      <c r="D74" s="47">
        <v>162</v>
      </c>
      <c r="E74" s="47"/>
    </row>
    <row r="75" spans="1:5">
      <c r="A75" s="1">
        <v>44649</v>
      </c>
      <c r="B75" s="47">
        <v>5</v>
      </c>
      <c r="C75" s="47">
        <v>28</v>
      </c>
      <c r="D75" s="47">
        <v>140</v>
      </c>
      <c r="E75" s="47"/>
    </row>
    <row r="76" spans="1:5">
      <c r="A76" s="1">
        <v>44650</v>
      </c>
      <c r="B76" s="47">
        <v>5</v>
      </c>
      <c r="C76" s="47">
        <v>27.2</v>
      </c>
      <c r="D76" s="47">
        <v>136</v>
      </c>
      <c r="E76" s="47"/>
    </row>
    <row r="77" spans="1:5">
      <c r="A77" s="82">
        <v>44651</v>
      </c>
      <c r="B77" s="83">
        <v>4</v>
      </c>
      <c r="C77" s="83">
        <v>26.25</v>
      </c>
      <c r="D77" s="83">
        <v>105</v>
      </c>
      <c r="E77" s="83">
        <f>SUM(B51:B77)</f>
        <v>138</v>
      </c>
    </row>
    <row r="78" spans="1:5">
      <c r="A78" s="1">
        <v>44652</v>
      </c>
      <c r="B78" s="47">
        <v>6</v>
      </c>
      <c r="C78" s="47">
        <v>28.5</v>
      </c>
      <c r="D78" s="47">
        <v>171</v>
      </c>
      <c r="E78" s="47"/>
    </row>
    <row r="79" spans="1:5">
      <c r="A79" s="1">
        <v>44653</v>
      </c>
      <c r="B79" s="47">
        <v>3</v>
      </c>
      <c r="C79" s="47">
        <v>26.67</v>
      </c>
      <c r="D79" s="47">
        <v>80</v>
      </c>
      <c r="E79" s="47"/>
    </row>
    <row r="80" spans="1:5">
      <c r="A80" s="1">
        <v>44655</v>
      </c>
      <c r="B80" s="47">
        <v>4</v>
      </c>
      <c r="C80" s="47">
        <v>27.75</v>
      </c>
      <c r="D80" s="47">
        <v>111</v>
      </c>
      <c r="E80" s="47"/>
    </row>
    <row r="81" spans="1:5">
      <c r="A81" s="1">
        <v>44656</v>
      </c>
      <c r="B81" s="47">
        <v>4</v>
      </c>
      <c r="C81" s="47">
        <v>27.5</v>
      </c>
      <c r="D81" s="47">
        <v>110</v>
      </c>
      <c r="E81" s="47"/>
    </row>
    <row r="82" spans="1:5">
      <c r="A82" s="1">
        <v>44657</v>
      </c>
      <c r="B82" s="47">
        <v>5</v>
      </c>
      <c r="C82" s="47">
        <v>29.8</v>
      </c>
      <c r="D82" s="47">
        <v>149</v>
      </c>
      <c r="E82" s="47"/>
    </row>
    <row r="83" spans="1:5">
      <c r="A83" s="1">
        <v>44658</v>
      </c>
      <c r="B83" s="47">
        <v>5</v>
      </c>
      <c r="C83" s="47">
        <v>27.2</v>
      </c>
      <c r="D83" s="47">
        <v>136</v>
      </c>
      <c r="E83" s="47"/>
    </row>
    <row r="84" spans="1:5">
      <c r="A84" s="1">
        <v>44659</v>
      </c>
      <c r="B84" s="47">
        <v>4</v>
      </c>
      <c r="C84" s="47">
        <v>27.5</v>
      </c>
      <c r="D84" s="47">
        <v>110</v>
      </c>
      <c r="E84" s="47"/>
    </row>
    <row r="85" spans="1:5">
      <c r="A85" s="1">
        <v>44660</v>
      </c>
      <c r="B85" s="47">
        <v>4</v>
      </c>
      <c r="C85" s="47">
        <v>24.5</v>
      </c>
      <c r="D85" s="47">
        <v>98</v>
      </c>
      <c r="E85" s="47"/>
    </row>
    <row r="86" spans="1:5">
      <c r="A86" s="1">
        <v>44662</v>
      </c>
      <c r="B86" s="47">
        <v>2</v>
      </c>
      <c r="C86" s="47">
        <v>29.5</v>
      </c>
      <c r="D86" s="47">
        <v>59</v>
      </c>
      <c r="E86" s="47"/>
    </row>
    <row r="87" spans="1:5">
      <c r="A87" s="1">
        <v>44663</v>
      </c>
      <c r="B87" s="47">
        <v>6</v>
      </c>
      <c r="C87" s="47">
        <v>27.83</v>
      </c>
      <c r="D87" s="47">
        <v>167</v>
      </c>
      <c r="E87" s="47"/>
    </row>
    <row r="88" spans="1:5">
      <c r="A88" s="1">
        <v>44664</v>
      </c>
      <c r="B88" s="47">
        <v>2</v>
      </c>
      <c r="C88" s="47">
        <v>31</v>
      </c>
      <c r="D88" s="47">
        <v>62</v>
      </c>
      <c r="E88" s="47"/>
    </row>
    <row r="89" spans="1:5">
      <c r="A89" s="1">
        <v>44665</v>
      </c>
      <c r="B89" s="47">
        <v>4</v>
      </c>
      <c r="C89" s="47">
        <v>27</v>
      </c>
      <c r="D89" s="47">
        <v>108</v>
      </c>
      <c r="E89" s="47"/>
    </row>
    <row r="90" spans="1:5">
      <c r="A90" s="1">
        <v>44666</v>
      </c>
      <c r="B90" s="47">
        <v>6</v>
      </c>
      <c r="C90" s="47">
        <v>27.17</v>
      </c>
      <c r="D90" s="47">
        <v>163</v>
      </c>
      <c r="E90" s="47"/>
    </row>
    <row r="91" spans="1:5">
      <c r="A91" s="1">
        <v>44667</v>
      </c>
      <c r="B91" s="47">
        <v>3</v>
      </c>
      <c r="C91" s="47">
        <v>25.33</v>
      </c>
      <c r="D91" s="47">
        <v>76</v>
      </c>
      <c r="E91" s="47"/>
    </row>
    <row r="92" spans="1:5">
      <c r="A92" s="1">
        <v>44670</v>
      </c>
      <c r="B92" s="47">
        <v>5</v>
      </c>
      <c r="C92" s="47">
        <v>25.8</v>
      </c>
      <c r="D92" s="47">
        <v>129</v>
      </c>
      <c r="E92" s="47"/>
    </row>
    <row r="93" spans="1:5">
      <c r="A93" s="1">
        <v>44671</v>
      </c>
      <c r="B93" s="47">
        <v>2</v>
      </c>
      <c r="C93" s="47">
        <v>26.5</v>
      </c>
      <c r="D93" s="47">
        <v>53</v>
      </c>
      <c r="E93" s="47"/>
    </row>
    <row r="94" spans="1:5">
      <c r="A94" s="1">
        <v>44672</v>
      </c>
      <c r="B94" s="47">
        <v>4</v>
      </c>
      <c r="C94" s="47">
        <v>25.75</v>
      </c>
      <c r="D94" s="47">
        <v>103</v>
      </c>
      <c r="E94" s="47"/>
    </row>
    <row r="95" spans="1:5">
      <c r="A95" s="1">
        <v>44673</v>
      </c>
      <c r="B95" s="47">
        <v>6</v>
      </c>
      <c r="C95" s="47">
        <v>27.83</v>
      </c>
      <c r="D95" s="47">
        <v>167</v>
      </c>
      <c r="E95" s="47"/>
    </row>
    <row r="96" spans="1:5">
      <c r="A96" s="1">
        <v>44674</v>
      </c>
      <c r="B96" s="47">
        <v>5</v>
      </c>
      <c r="C96" s="47">
        <v>27.4</v>
      </c>
      <c r="D96" s="47">
        <v>137</v>
      </c>
      <c r="E96" s="47"/>
    </row>
    <row r="97" spans="1:5">
      <c r="A97" s="1">
        <v>44676</v>
      </c>
      <c r="B97" s="47">
        <v>3</v>
      </c>
      <c r="C97" s="47">
        <v>28</v>
      </c>
      <c r="D97" s="47">
        <v>84</v>
      </c>
      <c r="E97" s="47"/>
    </row>
    <row r="98" spans="1:5">
      <c r="A98" s="1">
        <v>44677</v>
      </c>
      <c r="B98" s="47">
        <v>3</v>
      </c>
      <c r="C98" s="47">
        <v>26.67</v>
      </c>
      <c r="D98" s="47">
        <v>80</v>
      </c>
      <c r="E98" s="47"/>
    </row>
    <row r="99" spans="1:5">
      <c r="A99" s="1">
        <v>44679</v>
      </c>
      <c r="B99" s="47">
        <v>5</v>
      </c>
      <c r="C99" s="47">
        <v>26.6</v>
      </c>
      <c r="D99" s="47">
        <v>133</v>
      </c>
      <c r="E99" s="47"/>
    </row>
    <row r="100" spans="1:5">
      <c r="A100" s="1">
        <v>44680</v>
      </c>
      <c r="B100" s="47">
        <v>5</v>
      </c>
      <c r="C100" s="47">
        <v>25.6</v>
      </c>
      <c r="D100" s="47">
        <v>128</v>
      </c>
      <c r="E100" s="47"/>
    </row>
    <row r="101" spans="1:5">
      <c r="A101" s="82">
        <v>44681</v>
      </c>
      <c r="B101" s="83">
        <v>5</v>
      </c>
      <c r="C101" s="83">
        <v>26</v>
      </c>
      <c r="D101" s="83">
        <v>130</v>
      </c>
      <c r="E101" s="83">
        <f>SUM(B78:B101)</f>
        <v>101</v>
      </c>
    </row>
    <row r="102" spans="1:5">
      <c r="A102" s="1">
        <v>44683</v>
      </c>
      <c r="B102" s="47">
        <v>4</v>
      </c>
      <c r="C102" s="47">
        <v>27.5</v>
      </c>
      <c r="D102" s="47">
        <v>110</v>
      </c>
      <c r="E102" s="47"/>
    </row>
    <row r="103" spans="1:5">
      <c r="A103" s="1">
        <v>44684</v>
      </c>
      <c r="B103" s="47">
        <v>5</v>
      </c>
      <c r="C103" s="47">
        <v>28.8</v>
      </c>
      <c r="D103" s="47">
        <v>144</v>
      </c>
      <c r="E103" s="47"/>
    </row>
    <row r="104" spans="1:5">
      <c r="A104" s="1">
        <v>44685</v>
      </c>
      <c r="B104" s="47">
        <v>4</v>
      </c>
      <c r="C104" s="47">
        <v>28.25</v>
      </c>
      <c r="D104" s="47">
        <v>113</v>
      </c>
      <c r="E104" s="47"/>
    </row>
    <row r="105" spans="1:5">
      <c r="A105" s="1">
        <v>44686</v>
      </c>
      <c r="B105" s="47">
        <v>5</v>
      </c>
      <c r="C105" s="47">
        <v>26.6</v>
      </c>
      <c r="D105" s="47">
        <v>133</v>
      </c>
      <c r="E105" s="47"/>
    </row>
    <row r="106" spans="1:5">
      <c r="A106" s="1">
        <v>44687</v>
      </c>
      <c r="B106" s="47">
        <v>6</v>
      </c>
      <c r="C106" s="47">
        <v>25.83</v>
      </c>
      <c r="D106" s="47">
        <v>155</v>
      </c>
      <c r="E106" s="47"/>
    </row>
    <row r="107" spans="1:5">
      <c r="A107" s="1">
        <v>44688</v>
      </c>
      <c r="B107" s="47">
        <v>4</v>
      </c>
      <c r="C107" s="47">
        <v>26.75</v>
      </c>
      <c r="D107" s="47">
        <v>107</v>
      </c>
      <c r="E107" s="47"/>
    </row>
    <row r="108" spans="1:5">
      <c r="A108" s="1">
        <v>44690</v>
      </c>
      <c r="B108" s="47">
        <v>2</v>
      </c>
      <c r="C108" s="47">
        <v>28</v>
      </c>
      <c r="D108" s="47">
        <v>56</v>
      </c>
      <c r="E108" s="47"/>
    </row>
    <row r="109" spans="1:5">
      <c r="A109" s="1">
        <v>44691</v>
      </c>
      <c r="B109" s="47">
        <v>4</v>
      </c>
      <c r="C109" s="47">
        <v>26.5</v>
      </c>
      <c r="D109" s="47">
        <v>106</v>
      </c>
      <c r="E109" s="47"/>
    </row>
    <row r="110" spans="1:5">
      <c r="A110" s="1">
        <v>44692</v>
      </c>
      <c r="B110" s="47">
        <v>4</v>
      </c>
      <c r="C110" s="47">
        <v>27.5</v>
      </c>
      <c r="D110" s="47">
        <v>110</v>
      </c>
      <c r="E110" s="47"/>
    </row>
    <row r="111" spans="1:5">
      <c r="A111" s="1">
        <v>44693</v>
      </c>
      <c r="B111" s="47">
        <v>4</v>
      </c>
      <c r="C111" s="47">
        <v>27</v>
      </c>
      <c r="D111" s="47">
        <v>108</v>
      </c>
      <c r="E111" s="47"/>
    </row>
    <row r="112" spans="1:5">
      <c r="A112" s="1">
        <v>44694</v>
      </c>
      <c r="B112" s="47">
        <v>5</v>
      </c>
      <c r="C112" s="47">
        <v>27</v>
      </c>
      <c r="D112" s="47">
        <v>135</v>
      </c>
      <c r="E112" s="47"/>
    </row>
    <row r="113" spans="1:5">
      <c r="A113" s="1">
        <v>44695</v>
      </c>
      <c r="B113" s="47">
        <v>6</v>
      </c>
      <c r="C113" s="47">
        <v>28.67</v>
      </c>
      <c r="D113" s="47">
        <v>172</v>
      </c>
      <c r="E113" s="47"/>
    </row>
    <row r="114" spans="1:5">
      <c r="A114" s="1">
        <v>44697</v>
      </c>
      <c r="B114" s="47">
        <v>4</v>
      </c>
      <c r="C114" s="47">
        <v>25</v>
      </c>
      <c r="D114" s="47">
        <v>100</v>
      </c>
      <c r="E114" s="47"/>
    </row>
    <row r="115" spans="1:5">
      <c r="A115" s="1">
        <v>44698</v>
      </c>
      <c r="B115" s="47">
        <v>4</v>
      </c>
      <c r="C115" s="47">
        <v>26.5</v>
      </c>
      <c r="D115" s="47">
        <v>106</v>
      </c>
      <c r="E115" s="47"/>
    </row>
    <row r="116" spans="1:5">
      <c r="A116" s="1">
        <v>44699</v>
      </c>
      <c r="B116" s="47">
        <v>4</v>
      </c>
      <c r="C116" s="47">
        <v>25.5</v>
      </c>
      <c r="D116" s="47">
        <v>102</v>
      </c>
      <c r="E116" s="47"/>
    </row>
    <row r="117" spans="1:5">
      <c r="A117" s="1">
        <v>44700</v>
      </c>
      <c r="B117" s="47">
        <v>5</v>
      </c>
      <c r="C117" s="47">
        <v>27</v>
      </c>
      <c r="D117" s="47">
        <v>135</v>
      </c>
      <c r="E117" s="47"/>
    </row>
    <row r="118" spans="1:5">
      <c r="A118" s="1">
        <v>44701</v>
      </c>
      <c r="B118" s="47">
        <v>6</v>
      </c>
      <c r="C118" s="47">
        <v>27.5</v>
      </c>
      <c r="D118" s="47">
        <v>165</v>
      </c>
      <c r="E118" s="47"/>
    </row>
    <row r="119" spans="1:5">
      <c r="A119" s="1">
        <v>44702</v>
      </c>
      <c r="B119" s="47">
        <v>3</v>
      </c>
      <c r="C119" s="47">
        <v>27.33</v>
      </c>
      <c r="D119" s="47">
        <v>82</v>
      </c>
      <c r="E119" s="47"/>
    </row>
    <row r="120" spans="1:5">
      <c r="A120" s="1">
        <v>44704</v>
      </c>
      <c r="B120" s="47">
        <v>6</v>
      </c>
      <c r="C120" s="47">
        <v>26.83</v>
      </c>
      <c r="D120" s="47">
        <v>161</v>
      </c>
      <c r="E120" s="47"/>
    </row>
    <row r="121" spans="1:5">
      <c r="A121" s="1">
        <v>44705</v>
      </c>
      <c r="B121" s="47">
        <v>6</v>
      </c>
      <c r="C121" s="47">
        <v>27.33</v>
      </c>
      <c r="D121" s="47">
        <v>164</v>
      </c>
      <c r="E121" s="47"/>
    </row>
    <row r="122" spans="1:5">
      <c r="A122" s="1">
        <v>44706</v>
      </c>
      <c r="B122" s="47">
        <v>2</v>
      </c>
      <c r="C122" s="47">
        <v>26.5</v>
      </c>
      <c r="D122" s="47">
        <v>53</v>
      </c>
      <c r="E122" s="47"/>
    </row>
    <row r="123" spans="1:5">
      <c r="A123" s="1">
        <v>44708</v>
      </c>
      <c r="B123" s="47">
        <v>5</v>
      </c>
      <c r="C123" s="47">
        <v>26.4</v>
      </c>
      <c r="D123" s="47">
        <v>132</v>
      </c>
      <c r="E123" s="47"/>
    </row>
    <row r="124" spans="1:5">
      <c r="A124" s="1">
        <v>44709</v>
      </c>
      <c r="B124" s="47">
        <v>2</v>
      </c>
      <c r="C124" s="47">
        <v>29</v>
      </c>
      <c r="D124" s="47">
        <v>58</v>
      </c>
      <c r="E124" s="47"/>
    </row>
    <row r="125" spans="1:5">
      <c r="A125" s="1">
        <v>44711</v>
      </c>
      <c r="B125" s="47">
        <v>3</v>
      </c>
      <c r="C125" s="47">
        <v>26</v>
      </c>
      <c r="D125" s="47">
        <v>78</v>
      </c>
      <c r="E125" s="47"/>
    </row>
    <row r="126" spans="1:5">
      <c r="A126" s="82">
        <v>44712</v>
      </c>
      <c r="B126" s="83">
        <v>3</v>
      </c>
      <c r="C126" s="83">
        <v>28</v>
      </c>
      <c r="D126" s="83">
        <v>84</v>
      </c>
      <c r="E126" s="83">
        <f>SUM(B102:B126)</f>
        <v>106</v>
      </c>
    </row>
    <row r="127" spans="1:5">
      <c r="A127" s="1">
        <v>44713</v>
      </c>
      <c r="B127" s="47">
        <v>6</v>
      </c>
      <c r="C127" s="47">
        <v>25.83</v>
      </c>
      <c r="D127" s="47">
        <v>155</v>
      </c>
      <c r="E127" s="47"/>
    </row>
    <row r="128" spans="1:5">
      <c r="A128" s="1">
        <v>44714</v>
      </c>
      <c r="B128" s="47">
        <v>6</v>
      </c>
      <c r="C128" s="47">
        <v>28.67</v>
      </c>
      <c r="D128" s="47">
        <v>172</v>
      </c>
      <c r="E128" s="47"/>
    </row>
    <row r="129" spans="1:5">
      <c r="A129" s="1">
        <v>44715</v>
      </c>
      <c r="B129" s="47">
        <v>5</v>
      </c>
      <c r="C129" s="47">
        <v>26.2</v>
      </c>
      <c r="D129" s="47">
        <v>131</v>
      </c>
      <c r="E129" s="47"/>
    </row>
    <row r="130" spans="1:5">
      <c r="A130" s="1">
        <v>44716</v>
      </c>
      <c r="B130" s="47">
        <v>5</v>
      </c>
      <c r="C130" s="47">
        <v>25.4</v>
      </c>
      <c r="D130" s="47">
        <v>127</v>
      </c>
      <c r="E130" s="47"/>
    </row>
    <row r="131" spans="1:5">
      <c r="A131" s="1">
        <v>44719</v>
      </c>
      <c r="B131" s="47">
        <v>4</v>
      </c>
      <c r="C131" s="47">
        <v>28.25</v>
      </c>
      <c r="D131" s="47">
        <v>113</v>
      </c>
      <c r="E131" s="47"/>
    </row>
    <row r="132" spans="1:5">
      <c r="A132" s="1">
        <v>44720</v>
      </c>
      <c r="B132" s="47">
        <v>1</v>
      </c>
      <c r="C132" s="47">
        <v>25</v>
      </c>
      <c r="D132" s="47">
        <v>25</v>
      </c>
      <c r="E132" s="47"/>
    </row>
    <row r="133" spans="1:5">
      <c r="A133" s="1">
        <v>44721</v>
      </c>
      <c r="B133" s="47">
        <v>5</v>
      </c>
      <c r="C133" s="47">
        <v>27.4</v>
      </c>
      <c r="D133" s="47">
        <v>137</v>
      </c>
      <c r="E133" s="47"/>
    </row>
    <row r="134" spans="1:5">
      <c r="A134" s="1">
        <v>44722</v>
      </c>
      <c r="B134" s="47">
        <v>3</v>
      </c>
      <c r="C134" s="47">
        <v>26.33</v>
      </c>
      <c r="D134" s="47">
        <v>79</v>
      </c>
      <c r="E134" s="47"/>
    </row>
    <row r="135" spans="1:5">
      <c r="A135" s="1">
        <v>44723</v>
      </c>
      <c r="B135" s="47">
        <v>6</v>
      </c>
      <c r="C135" s="47">
        <v>26.67</v>
      </c>
      <c r="D135" s="47">
        <v>160</v>
      </c>
      <c r="E135" s="47"/>
    </row>
    <row r="136" spans="1:5">
      <c r="A136" s="1">
        <v>44725</v>
      </c>
      <c r="B136" s="47">
        <v>4</v>
      </c>
      <c r="C136" s="47">
        <v>27.5</v>
      </c>
      <c r="D136" s="47">
        <v>110</v>
      </c>
      <c r="E136" s="47"/>
    </row>
    <row r="137" spans="1:5">
      <c r="A137" s="1">
        <v>44726</v>
      </c>
      <c r="B137" s="47">
        <v>3</v>
      </c>
      <c r="C137" s="47">
        <v>24.67</v>
      </c>
      <c r="D137" s="47">
        <v>74</v>
      </c>
      <c r="E137" s="47"/>
    </row>
    <row r="138" spans="1:5">
      <c r="A138" s="1">
        <v>44727</v>
      </c>
      <c r="B138" s="47">
        <v>3</v>
      </c>
      <c r="C138" s="47">
        <v>27.67</v>
      </c>
      <c r="D138" s="47">
        <v>83</v>
      </c>
      <c r="E138" s="47"/>
    </row>
    <row r="139" spans="1:5">
      <c r="A139" s="1">
        <v>44728</v>
      </c>
      <c r="B139" s="47">
        <v>2</v>
      </c>
      <c r="C139" s="47">
        <v>28</v>
      </c>
      <c r="D139" s="47">
        <v>56</v>
      </c>
      <c r="E139" s="47"/>
    </row>
    <row r="140" spans="1:5">
      <c r="A140" s="1">
        <v>44729</v>
      </c>
      <c r="B140" s="47">
        <v>4</v>
      </c>
      <c r="C140" s="47">
        <v>26.25</v>
      </c>
      <c r="D140" s="47">
        <v>105</v>
      </c>
      <c r="E140" s="47"/>
    </row>
    <row r="141" spans="1:5">
      <c r="A141" s="1">
        <v>44730</v>
      </c>
      <c r="B141" s="47">
        <v>5</v>
      </c>
      <c r="C141" s="47">
        <v>26.8</v>
      </c>
      <c r="D141" s="47">
        <v>134</v>
      </c>
      <c r="E141" s="47"/>
    </row>
    <row r="142" spans="1:5">
      <c r="A142" s="1">
        <v>44732</v>
      </c>
      <c r="B142" s="47">
        <v>4</v>
      </c>
      <c r="C142" s="47">
        <v>26.25</v>
      </c>
      <c r="D142" s="47">
        <v>105</v>
      </c>
      <c r="E142" s="47"/>
    </row>
    <row r="143" spans="1:5">
      <c r="A143" s="1">
        <v>44733</v>
      </c>
      <c r="B143" s="47">
        <v>6</v>
      </c>
      <c r="C143" s="47">
        <v>28.33</v>
      </c>
      <c r="D143" s="47">
        <v>170</v>
      </c>
      <c r="E143" s="47"/>
    </row>
    <row r="144" spans="1:5">
      <c r="A144" s="1">
        <v>44734</v>
      </c>
      <c r="B144" s="47">
        <v>2</v>
      </c>
      <c r="C144" s="47">
        <v>25.5</v>
      </c>
      <c r="D144" s="47">
        <v>51</v>
      </c>
      <c r="E144" s="47"/>
    </row>
    <row r="145" spans="1:5">
      <c r="A145" s="1">
        <v>44735</v>
      </c>
      <c r="B145" s="47">
        <v>2</v>
      </c>
      <c r="C145" s="47">
        <v>24.5</v>
      </c>
      <c r="D145" s="47">
        <v>49</v>
      </c>
      <c r="E145" s="47"/>
    </row>
    <row r="146" spans="1:5">
      <c r="A146" s="1">
        <v>44736</v>
      </c>
      <c r="B146" s="47">
        <v>6</v>
      </c>
      <c r="C146" s="47">
        <v>26.67</v>
      </c>
      <c r="D146" s="47">
        <v>160</v>
      </c>
      <c r="E146" s="47"/>
    </row>
    <row r="147" spans="1:5">
      <c r="A147" s="1">
        <v>44737</v>
      </c>
      <c r="B147" s="47">
        <v>5</v>
      </c>
      <c r="C147" s="47">
        <v>25.8</v>
      </c>
      <c r="D147" s="47">
        <v>129</v>
      </c>
      <c r="E147" s="47"/>
    </row>
    <row r="148" spans="1:5">
      <c r="A148" s="1">
        <v>44739</v>
      </c>
      <c r="B148" s="47">
        <v>3</v>
      </c>
      <c r="C148" s="47">
        <v>27.67</v>
      </c>
      <c r="D148" s="47">
        <v>83</v>
      </c>
      <c r="E148" s="47"/>
    </row>
    <row r="149" spans="1:5">
      <c r="A149" s="1">
        <v>44740</v>
      </c>
      <c r="B149" s="47">
        <v>4</v>
      </c>
      <c r="C149" s="47">
        <v>26.5</v>
      </c>
      <c r="D149" s="47">
        <v>106</v>
      </c>
      <c r="E149" s="47"/>
    </row>
    <row r="150" spans="1:5">
      <c r="A150" s="1">
        <v>44741</v>
      </c>
      <c r="B150" s="47">
        <v>5</v>
      </c>
      <c r="C150" s="47">
        <v>28.6</v>
      </c>
      <c r="D150" s="47">
        <v>143</v>
      </c>
      <c r="E150" s="47"/>
    </row>
    <row r="151" spans="1:5">
      <c r="A151" s="82">
        <v>44742</v>
      </c>
      <c r="B151" s="83">
        <v>1</v>
      </c>
      <c r="C151" s="83">
        <v>26</v>
      </c>
      <c r="D151" s="83">
        <v>26</v>
      </c>
      <c r="E151" s="83">
        <f>SUM(B127:B151)</f>
        <v>100</v>
      </c>
    </row>
    <row r="152" spans="1:5">
      <c r="A152" s="1">
        <v>44743</v>
      </c>
      <c r="B152" s="47">
        <v>5</v>
      </c>
      <c r="C152" s="47">
        <v>26.4</v>
      </c>
      <c r="D152" s="47">
        <v>132</v>
      </c>
      <c r="E152" s="47"/>
    </row>
    <row r="153" spans="1:5">
      <c r="A153" s="1">
        <v>44744</v>
      </c>
      <c r="B153" s="47">
        <v>5</v>
      </c>
      <c r="C153" s="47">
        <v>27.4</v>
      </c>
      <c r="D153" s="47">
        <v>137</v>
      </c>
      <c r="E153" s="47"/>
    </row>
    <row r="154" spans="1:5">
      <c r="A154" s="1">
        <v>44746</v>
      </c>
      <c r="B154" s="47">
        <v>1</v>
      </c>
      <c r="C154" s="47">
        <v>26</v>
      </c>
      <c r="D154" s="47">
        <v>26</v>
      </c>
      <c r="E154" s="47"/>
    </row>
    <row r="155" spans="1:5">
      <c r="A155" s="1">
        <v>44747</v>
      </c>
      <c r="B155" s="47">
        <v>2</v>
      </c>
      <c r="C155" s="47">
        <v>26.5</v>
      </c>
      <c r="D155" s="47">
        <v>53</v>
      </c>
      <c r="E155" s="47"/>
    </row>
    <row r="156" spans="1:5">
      <c r="A156" s="1">
        <v>44748</v>
      </c>
      <c r="B156" s="47">
        <v>4</v>
      </c>
      <c r="C156" s="47">
        <v>27.5</v>
      </c>
      <c r="D156" s="47">
        <v>110</v>
      </c>
      <c r="E156" s="47"/>
    </row>
    <row r="157" spans="1:5">
      <c r="A157" s="1">
        <v>44749</v>
      </c>
      <c r="B157" s="47">
        <v>6</v>
      </c>
      <c r="C157" s="47">
        <v>26.83</v>
      </c>
      <c r="D157" s="47">
        <v>161</v>
      </c>
      <c r="E157" s="47"/>
    </row>
    <row r="158" spans="1:5">
      <c r="A158" s="1">
        <v>44750</v>
      </c>
      <c r="B158" s="47">
        <v>6</v>
      </c>
      <c r="C158" s="47">
        <v>25.5</v>
      </c>
      <c r="D158" s="47">
        <v>153</v>
      </c>
      <c r="E158" s="47"/>
    </row>
    <row r="159" spans="1:5">
      <c r="A159" s="1">
        <v>44751</v>
      </c>
      <c r="B159" s="47">
        <v>2</v>
      </c>
      <c r="C159" s="47">
        <v>28</v>
      </c>
      <c r="D159" s="47">
        <v>56</v>
      </c>
      <c r="E159" s="47"/>
    </row>
    <row r="160" spans="1:5">
      <c r="A160" s="1">
        <v>44753</v>
      </c>
      <c r="B160" s="47">
        <v>3</v>
      </c>
      <c r="C160" s="47">
        <v>26</v>
      </c>
      <c r="D160" s="47">
        <v>78</v>
      </c>
      <c r="E160" s="47"/>
    </row>
    <row r="161" spans="1:5">
      <c r="A161" s="1">
        <v>44754</v>
      </c>
      <c r="B161" s="47">
        <v>3</v>
      </c>
      <c r="C161" s="47">
        <v>26.33</v>
      </c>
      <c r="D161" s="47">
        <v>79</v>
      </c>
      <c r="E161" s="47"/>
    </row>
    <row r="162" spans="1:5">
      <c r="A162" s="1">
        <v>44755</v>
      </c>
      <c r="B162" s="47">
        <v>3</v>
      </c>
      <c r="C162" s="47">
        <v>27.33</v>
      </c>
      <c r="D162" s="47">
        <v>82</v>
      </c>
      <c r="E162" s="47"/>
    </row>
    <row r="163" spans="1:5">
      <c r="A163" s="1">
        <v>44756</v>
      </c>
      <c r="B163" s="47">
        <v>2</v>
      </c>
      <c r="C163" s="47">
        <v>24.5</v>
      </c>
      <c r="D163" s="47">
        <v>49</v>
      </c>
      <c r="E163" s="47"/>
    </row>
    <row r="164" spans="1:5">
      <c r="A164" s="1">
        <v>44757</v>
      </c>
      <c r="B164" s="47">
        <v>6</v>
      </c>
      <c r="C164" s="47">
        <v>25.83</v>
      </c>
      <c r="D164" s="47">
        <v>155</v>
      </c>
      <c r="E164" s="47"/>
    </row>
    <row r="165" spans="1:5">
      <c r="A165" s="1">
        <v>44758</v>
      </c>
      <c r="B165" s="47">
        <v>6</v>
      </c>
      <c r="C165" s="47">
        <v>28</v>
      </c>
      <c r="D165" s="47">
        <v>168</v>
      </c>
      <c r="E165" s="47"/>
    </row>
    <row r="166" spans="1:5">
      <c r="A166" s="1">
        <v>44760</v>
      </c>
      <c r="B166" s="47">
        <v>4</v>
      </c>
      <c r="C166" s="47">
        <v>27</v>
      </c>
      <c r="D166" s="47">
        <v>108</v>
      </c>
      <c r="E166" s="47"/>
    </row>
    <row r="167" spans="1:5">
      <c r="A167" s="1">
        <v>44761</v>
      </c>
      <c r="B167" s="47">
        <v>6</v>
      </c>
      <c r="C167" s="47">
        <v>25.67</v>
      </c>
      <c r="D167" s="47">
        <v>154</v>
      </c>
      <c r="E167" s="47"/>
    </row>
    <row r="168" spans="1:5">
      <c r="A168" s="1">
        <v>44762</v>
      </c>
      <c r="B168" s="47">
        <v>2</v>
      </c>
      <c r="C168" s="47">
        <v>29.5</v>
      </c>
      <c r="D168" s="47">
        <v>59</v>
      </c>
      <c r="E168" s="47"/>
    </row>
    <row r="169" spans="1:5">
      <c r="A169" s="1">
        <v>44763</v>
      </c>
      <c r="B169" s="47">
        <v>3</v>
      </c>
      <c r="C169" s="47">
        <v>25.33</v>
      </c>
      <c r="D169" s="47">
        <v>76</v>
      </c>
      <c r="E169" s="47"/>
    </row>
    <row r="170" spans="1:5">
      <c r="A170" s="1">
        <v>44764</v>
      </c>
      <c r="B170" s="47">
        <v>6</v>
      </c>
      <c r="C170" s="47">
        <v>25</v>
      </c>
      <c r="D170" s="47">
        <v>150</v>
      </c>
      <c r="E170" s="47"/>
    </row>
    <row r="171" spans="1:5">
      <c r="A171" s="1">
        <v>44765</v>
      </c>
      <c r="B171" s="47">
        <v>5</v>
      </c>
      <c r="C171" s="47">
        <v>26.6</v>
      </c>
      <c r="D171" s="47">
        <v>133</v>
      </c>
      <c r="E171" s="47"/>
    </row>
    <row r="172" spans="1:5">
      <c r="A172" s="1">
        <v>44767</v>
      </c>
      <c r="B172" s="47">
        <v>6</v>
      </c>
      <c r="C172" s="47">
        <v>27.67</v>
      </c>
      <c r="D172" s="47">
        <v>166</v>
      </c>
      <c r="E172" s="47"/>
    </row>
    <row r="173" spans="1:5">
      <c r="A173" s="1">
        <v>44768</v>
      </c>
      <c r="B173" s="47">
        <v>4</v>
      </c>
      <c r="C173" s="47">
        <v>28.75</v>
      </c>
      <c r="D173" s="47">
        <v>115</v>
      </c>
      <c r="E173" s="47"/>
    </row>
    <row r="174" spans="1:5">
      <c r="A174" s="1">
        <v>44769</v>
      </c>
      <c r="B174" s="47">
        <v>6</v>
      </c>
      <c r="C174" s="47">
        <v>26.33</v>
      </c>
      <c r="D174" s="47">
        <v>158</v>
      </c>
      <c r="E174" s="47"/>
    </row>
    <row r="175" spans="1:5">
      <c r="A175" s="1">
        <v>44770</v>
      </c>
      <c r="B175" s="47">
        <v>6</v>
      </c>
      <c r="C175" s="47">
        <v>26.33</v>
      </c>
      <c r="D175" s="47">
        <v>158</v>
      </c>
      <c r="E175" s="47"/>
    </row>
    <row r="176" spans="1:5">
      <c r="A176" s="1">
        <v>44771</v>
      </c>
      <c r="B176" s="47">
        <v>6</v>
      </c>
      <c r="C176" s="47">
        <v>27.17</v>
      </c>
      <c r="D176" s="47">
        <v>163</v>
      </c>
      <c r="E176" s="47"/>
    </row>
    <row r="177" spans="1:5">
      <c r="A177" s="82">
        <v>44772</v>
      </c>
      <c r="B177" s="83">
        <v>4</v>
      </c>
      <c r="C177" s="83">
        <v>24.5</v>
      </c>
      <c r="D177" s="83">
        <v>98</v>
      </c>
      <c r="E177" s="83">
        <f>SUM(B152:B177)</f>
        <v>112</v>
      </c>
    </row>
    <row r="178" spans="1:5">
      <c r="A178" s="1">
        <v>44774</v>
      </c>
      <c r="B178" s="47">
        <v>2</v>
      </c>
      <c r="C178" s="47">
        <v>24.5</v>
      </c>
      <c r="D178" s="47">
        <v>49</v>
      </c>
      <c r="E178" s="47"/>
    </row>
    <row r="179" spans="1:5">
      <c r="A179" s="1">
        <v>44775</v>
      </c>
      <c r="B179" s="47">
        <v>6</v>
      </c>
      <c r="C179" s="47">
        <v>29.17</v>
      </c>
      <c r="D179" s="47">
        <v>175</v>
      </c>
      <c r="E179" s="47"/>
    </row>
    <row r="180" spans="1:5">
      <c r="A180" s="1">
        <v>44776</v>
      </c>
      <c r="B180" s="47">
        <v>6</v>
      </c>
      <c r="C180" s="47">
        <v>28.17</v>
      </c>
      <c r="D180" s="47">
        <v>169</v>
      </c>
      <c r="E180" s="47"/>
    </row>
    <row r="181" spans="1:5">
      <c r="A181" s="1">
        <v>44777</v>
      </c>
      <c r="B181" s="47">
        <v>6</v>
      </c>
      <c r="C181" s="47">
        <v>25.33</v>
      </c>
      <c r="D181" s="47">
        <v>152</v>
      </c>
      <c r="E181" s="47"/>
    </row>
    <row r="182" spans="1:5">
      <c r="A182" s="1">
        <v>44778</v>
      </c>
      <c r="B182" s="47">
        <v>6</v>
      </c>
      <c r="C182" s="47">
        <v>26.17</v>
      </c>
      <c r="D182" s="47">
        <v>157</v>
      </c>
      <c r="E182" s="47"/>
    </row>
    <row r="183" spans="1:5">
      <c r="A183" s="1">
        <v>44779</v>
      </c>
      <c r="B183" s="47">
        <v>5</v>
      </c>
      <c r="C183" s="47">
        <v>26.8</v>
      </c>
      <c r="D183" s="47">
        <v>134</v>
      </c>
      <c r="E183" s="47"/>
    </row>
    <row r="184" spans="1:5">
      <c r="A184" s="1">
        <v>44781</v>
      </c>
      <c r="B184" s="47">
        <v>4</v>
      </c>
      <c r="C184" s="47">
        <v>25.5</v>
      </c>
      <c r="D184" s="47">
        <v>102</v>
      </c>
      <c r="E184" s="47"/>
    </row>
    <row r="185" spans="1:5">
      <c r="A185" s="1">
        <v>44782</v>
      </c>
      <c r="B185" s="47">
        <v>4</v>
      </c>
      <c r="C185" s="47">
        <v>27.5</v>
      </c>
      <c r="D185" s="47">
        <v>110</v>
      </c>
      <c r="E185" s="47"/>
    </row>
    <row r="186" spans="1:5">
      <c r="A186" s="1">
        <v>44783</v>
      </c>
      <c r="B186" s="47">
        <v>6</v>
      </c>
      <c r="C186" s="47">
        <v>27.5</v>
      </c>
      <c r="D186" s="47">
        <v>165</v>
      </c>
      <c r="E186" s="47"/>
    </row>
    <row r="187" spans="1:5">
      <c r="A187" s="1">
        <v>44784</v>
      </c>
      <c r="B187" s="47">
        <v>6</v>
      </c>
      <c r="C187" s="47">
        <v>27.5</v>
      </c>
      <c r="D187" s="47">
        <v>165</v>
      </c>
      <c r="E187" s="47"/>
    </row>
    <row r="188" spans="1:5">
      <c r="A188" s="1">
        <v>44785</v>
      </c>
      <c r="B188" s="47">
        <v>6</v>
      </c>
      <c r="C188" s="47">
        <v>26.33</v>
      </c>
      <c r="D188" s="47">
        <v>158</v>
      </c>
      <c r="E188" s="47"/>
    </row>
    <row r="189" spans="1:5">
      <c r="A189" s="1">
        <v>44786</v>
      </c>
      <c r="B189" s="47">
        <v>6</v>
      </c>
      <c r="C189" s="47">
        <v>27.67</v>
      </c>
      <c r="D189" s="47">
        <v>166</v>
      </c>
      <c r="E189" s="47"/>
    </row>
    <row r="190" spans="1:5">
      <c r="A190" s="1">
        <v>44788</v>
      </c>
      <c r="B190" s="47">
        <v>3</v>
      </c>
      <c r="C190" s="47">
        <v>26</v>
      </c>
      <c r="D190" s="47">
        <v>78</v>
      </c>
      <c r="E190" s="47"/>
    </row>
    <row r="191" spans="1:5">
      <c r="A191" s="1">
        <v>44789</v>
      </c>
      <c r="B191" s="47">
        <v>4</v>
      </c>
      <c r="C191" s="47">
        <v>27.75</v>
      </c>
      <c r="D191" s="47">
        <v>111</v>
      </c>
      <c r="E191" s="47"/>
    </row>
    <row r="192" spans="1:5">
      <c r="A192" s="1">
        <v>44790</v>
      </c>
      <c r="B192" s="47">
        <v>5</v>
      </c>
      <c r="C192" s="47">
        <v>25.6</v>
      </c>
      <c r="D192" s="47">
        <v>128</v>
      </c>
      <c r="E192" s="47"/>
    </row>
    <row r="193" spans="1:5">
      <c r="A193" s="1">
        <v>44791</v>
      </c>
      <c r="B193" s="47">
        <v>6</v>
      </c>
      <c r="C193" s="47">
        <v>24.67</v>
      </c>
      <c r="D193" s="47">
        <v>148</v>
      </c>
      <c r="E193" s="47"/>
    </row>
    <row r="194" spans="1:5">
      <c r="A194" s="1">
        <v>44792</v>
      </c>
      <c r="B194" s="47">
        <v>6</v>
      </c>
      <c r="C194" s="47">
        <v>27.83</v>
      </c>
      <c r="D194" s="47">
        <v>167</v>
      </c>
      <c r="E194" s="47"/>
    </row>
    <row r="195" spans="1:5">
      <c r="A195" s="1">
        <v>44793</v>
      </c>
      <c r="B195" s="47">
        <v>6</v>
      </c>
      <c r="C195" s="47">
        <v>27.67</v>
      </c>
      <c r="D195" s="47">
        <v>166</v>
      </c>
      <c r="E195" s="47"/>
    </row>
    <row r="196" spans="1:5">
      <c r="A196" s="1">
        <v>44795</v>
      </c>
      <c r="B196" s="47">
        <v>3</v>
      </c>
      <c r="C196" s="47">
        <v>29</v>
      </c>
      <c r="D196" s="47">
        <v>87</v>
      </c>
      <c r="E196" s="47"/>
    </row>
    <row r="197" spans="1:5">
      <c r="A197" s="1">
        <v>44796</v>
      </c>
      <c r="B197" s="47">
        <v>6</v>
      </c>
      <c r="C197" s="47">
        <v>27</v>
      </c>
      <c r="D197" s="47">
        <v>162</v>
      </c>
      <c r="E197" s="47"/>
    </row>
    <row r="198" spans="1:5">
      <c r="A198" s="1">
        <v>44797</v>
      </c>
      <c r="B198" s="47">
        <v>6</v>
      </c>
      <c r="C198" s="47">
        <v>27</v>
      </c>
      <c r="D198" s="47">
        <v>162</v>
      </c>
      <c r="E198" s="47"/>
    </row>
    <row r="199" spans="1:5">
      <c r="A199" s="1">
        <v>44798</v>
      </c>
      <c r="B199" s="47">
        <v>6</v>
      </c>
      <c r="C199" s="47">
        <v>26.67</v>
      </c>
      <c r="D199" s="47">
        <v>160</v>
      </c>
      <c r="E199" s="47"/>
    </row>
    <row r="200" spans="1:5">
      <c r="A200" s="1">
        <v>44799</v>
      </c>
      <c r="B200" s="47">
        <v>6</v>
      </c>
      <c r="C200" s="47">
        <v>27.17</v>
      </c>
      <c r="D200" s="47">
        <v>163</v>
      </c>
      <c r="E200" s="47"/>
    </row>
    <row r="201" spans="1:5">
      <c r="A201" s="1">
        <v>44800</v>
      </c>
      <c r="B201" s="47">
        <v>5</v>
      </c>
      <c r="C201" s="47">
        <v>27</v>
      </c>
      <c r="D201" s="47">
        <v>135</v>
      </c>
      <c r="E201" s="47"/>
    </row>
    <row r="202" spans="1:5">
      <c r="A202" s="1">
        <v>44802</v>
      </c>
      <c r="B202" s="47">
        <v>4</v>
      </c>
      <c r="C202" s="47">
        <v>26.75</v>
      </c>
      <c r="D202" s="47">
        <v>107</v>
      </c>
      <c r="E202" s="47"/>
    </row>
    <row r="203" spans="1:5">
      <c r="A203" s="1">
        <v>44803</v>
      </c>
      <c r="B203" s="47">
        <v>6</v>
      </c>
      <c r="C203" s="47">
        <v>25.83</v>
      </c>
      <c r="D203" s="47">
        <v>155</v>
      </c>
      <c r="E203" s="47"/>
    </row>
    <row r="204" spans="1:5">
      <c r="A204" s="82">
        <v>44804</v>
      </c>
      <c r="B204" s="83">
        <v>5</v>
      </c>
      <c r="C204" s="83">
        <v>27.6</v>
      </c>
      <c r="D204" s="83">
        <v>138</v>
      </c>
      <c r="E204" s="83">
        <f>SUM(B178:B204)</f>
        <v>140</v>
      </c>
    </row>
    <row r="205" spans="1:5">
      <c r="A205" s="1">
        <v>44805</v>
      </c>
      <c r="B205" s="47">
        <v>6</v>
      </c>
      <c r="C205" s="47">
        <v>27.83</v>
      </c>
      <c r="D205" s="47">
        <v>167</v>
      </c>
      <c r="E205" s="47"/>
    </row>
    <row r="206" spans="1:5">
      <c r="A206" s="1">
        <v>44806</v>
      </c>
      <c r="B206" s="47">
        <v>6</v>
      </c>
      <c r="C206" s="47">
        <v>27.33</v>
      </c>
      <c r="D206" s="47">
        <v>164</v>
      </c>
      <c r="E206" s="47"/>
    </row>
    <row r="207" spans="1:5">
      <c r="A207" s="1">
        <v>44807</v>
      </c>
      <c r="B207" s="47">
        <v>6</v>
      </c>
      <c r="C207" s="47">
        <v>27.17</v>
      </c>
      <c r="D207" s="47">
        <v>163</v>
      </c>
      <c r="E207" s="47"/>
    </row>
    <row r="208" spans="1:5">
      <c r="A208" s="1">
        <v>44809</v>
      </c>
      <c r="B208" s="47">
        <v>6</v>
      </c>
      <c r="C208" s="47">
        <v>24.5</v>
      </c>
      <c r="D208" s="47">
        <v>147</v>
      </c>
      <c r="E208" s="47"/>
    </row>
    <row r="209" spans="1:5">
      <c r="A209" s="1">
        <v>44810</v>
      </c>
      <c r="B209" s="47">
        <v>3</v>
      </c>
      <c r="C209" s="47">
        <v>28.67</v>
      </c>
      <c r="D209" s="47">
        <v>86</v>
      </c>
      <c r="E209" s="47"/>
    </row>
    <row r="210" spans="1:5">
      <c r="A210" s="1">
        <v>44811</v>
      </c>
      <c r="B210" s="47">
        <v>6</v>
      </c>
      <c r="C210" s="47">
        <v>26.83</v>
      </c>
      <c r="D210" s="47">
        <v>161</v>
      </c>
      <c r="E210" s="47"/>
    </row>
    <row r="211" spans="1:5">
      <c r="A211" s="1">
        <v>44812</v>
      </c>
      <c r="B211" s="47">
        <v>6</v>
      </c>
      <c r="C211" s="47">
        <v>27.33</v>
      </c>
      <c r="D211" s="47">
        <v>164</v>
      </c>
      <c r="E211" s="47"/>
    </row>
    <row r="212" spans="1:5">
      <c r="A212" s="1">
        <v>44813</v>
      </c>
      <c r="B212" s="47">
        <v>6</v>
      </c>
      <c r="C212" s="47">
        <v>26.5</v>
      </c>
      <c r="D212" s="47">
        <v>159</v>
      </c>
      <c r="E212" s="47"/>
    </row>
    <row r="213" spans="1:5">
      <c r="A213" s="1">
        <v>44814</v>
      </c>
      <c r="B213" s="47">
        <v>6</v>
      </c>
      <c r="C213" s="47">
        <v>26.67</v>
      </c>
      <c r="D213" s="47">
        <v>160</v>
      </c>
      <c r="E213" s="47"/>
    </row>
    <row r="214" spans="1:5">
      <c r="A214" s="1">
        <v>44816</v>
      </c>
      <c r="B214" s="47">
        <v>6</v>
      </c>
      <c r="C214" s="47">
        <v>28.5</v>
      </c>
      <c r="D214" s="47">
        <v>171</v>
      </c>
      <c r="E214" s="47"/>
    </row>
    <row r="215" spans="1:5">
      <c r="A215" s="1">
        <v>44817</v>
      </c>
      <c r="B215" s="47">
        <v>4</v>
      </c>
      <c r="C215" s="47">
        <v>26.25</v>
      </c>
      <c r="D215" s="47">
        <v>105</v>
      </c>
      <c r="E215" s="47"/>
    </row>
    <row r="216" spans="1:5">
      <c r="A216" s="1">
        <v>44818</v>
      </c>
      <c r="B216" s="47">
        <v>6</v>
      </c>
      <c r="C216" s="47">
        <v>26.5</v>
      </c>
      <c r="D216" s="47">
        <v>159</v>
      </c>
      <c r="E216" s="47"/>
    </row>
    <row r="217" spans="1:5">
      <c r="A217" s="1">
        <v>44819</v>
      </c>
      <c r="B217" s="47">
        <v>6</v>
      </c>
      <c r="C217" s="47">
        <v>26.33</v>
      </c>
      <c r="D217" s="47">
        <v>158</v>
      </c>
      <c r="E217" s="47"/>
    </row>
    <row r="218" spans="1:5">
      <c r="A218" s="1">
        <v>44820</v>
      </c>
      <c r="B218" s="47">
        <v>6</v>
      </c>
      <c r="C218" s="47">
        <v>27.83</v>
      </c>
      <c r="D218" s="47">
        <v>167</v>
      </c>
      <c r="E218" s="47"/>
    </row>
    <row r="219" spans="1:5">
      <c r="A219" s="1">
        <v>44821</v>
      </c>
      <c r="B219" s="47">
        <v>6</v>
      </c>
      <c r="C219" s="47">
        <v>26.33</v>
      </c>
      <c r="D219" s="47">
        <v>158</v>
      </c>
      <c r="E219" s="47"/>
    </row>
    <row r="220" spans="1:5">
      <c r="A220" s="1">
        <v>44823</v>
      </c>
      <c r="B220" s="47">
        <v>3</v>
      </c>
      <c r="C220" s="47">
        <v>27.33</v>
      </c>
      <c r="D220" s="47">
        <v>82</v>
      </c>
      <c r="E220" s="47"/>
    </row>
    <row r="221" spans="1:5">
      <c r="A221" s="1">
        <v>44824</v>
      </c>
      <c r="B221" s="47">
        <v>4</v>
      </c>
      <c r="C221" s="47">
        <v>27</v>
      </c>
      <c r="D221" s="47">
        <v>108</v>
      </c>
      <c r="E221" s="47"/>
    </row>
    <row r="222" spans="1:5">
      <c r="A222" s="1">
        <v>44825</v>
      </c>
      <c r="B222" s="47">
        <v>5</v>
      </c>
      <c r="C222" s="47">
        <v>28.2</v>
      </c>
      <c r="D222" s="47">
        <v>141</v>
      </c>
      <c r="E222" s="47"/>
    </row>
    <row r="223" spans="1:5">
      <c r="A223" s="1">
        <v>44826</v>
      </c>
      <c r="B223" s="47">
        <v>6</v>
      </c>
      <c r="C223" s="47">
        <v>26.83</v>
      </c>
      <c r="D223" s="47">
        <v>161</v>
      </c>
      <c r="E223" s="47"/>
    </row>
    <row r="224" spans="1:5">
      <c r="A224" s="1">
        <v>44827</v>
      </c>
      <c r="B224" s="47">
        <v>6</v>
      </c>
      <c r="C224" s="47">
        <v>26.17</v>
      </c>
      <c r="D224" s="47">
        <v>157</v>
      </c>
      <c r="E224" s="47"/>
    </row>
    <row r="225" spans="1:5">
      <c r="A225" s="1">
        <v>44828</v>
      </c>
      <c r="B225" s="47">
        <v>6</v>
      </c>
      <c r="C225" s="47">
        <v>26.33</v>
      </c>
      <c r="D225" s="47">
        <v>158</v>
      </c>
      <c r="E225" s="47"/>
    </row>
    <row r="226" spans="1:5">
      <c r="A226" s="1">
        <v>44830</v>
      </c>
      <c r="B226" s="47">
        <v>6</v>
      </c>
      <c r="C226" s="47">
        <v>27.5</v>
      </c>
      <c r="D226" s="47">
        <v>165</v>
      </c>
      <c r="E226" s="47"/>
    </row>
    <row r="227" spans="1:5">
      <c r="A227" s="1">
        <v>44831</v>
      </c>
      <c r="B227" s="47">
        <v>5</v>
      </c>
      <c r="C227" s="47">
        <v>24.4</v>
      </c>
      <c r="D227" s="47">
        <v>122</v>
      </c>
      <c r="E227" s="47"/>
    </row>
    <row r="228" spans="1:5">
      <c r="A228" s="1">
        <v>44832</v>
      </c>
      <c r="B228" s="47">
        <v>5</v>
      </c>
      <c r="C228" s="47">
        <v>27.2</v>
      </c>
      <c r="D228" s="47">
        <v>136</v>
      </c>
      <c r="E228" s="47"/>
    </row>
    <row r="229" spans="1:5">
      <c r="A229" s="1">
        <v>44833</v>
      </c>
      <c r="B229" s="47">
        <v>6</v>
      </c>
      <c r="C229" s="47">
        <v>27.5</v>
      </c>
      <c r="D229" s="47">
        <v>165</v>
      </c>
      <c r="E229" s="47"/>
    </row>
    <row r="230" spans="1:5">
      <c r="A230" s="82">
        <v>44834</v>
      </c>
      <c r="B230" s="83">
        <v>6</v>
      </c>
      <c r="C230" s="83">
        <v>26.5</v>
      </c>
      <c r="D230" s="83">
        <v>159</v>
      </c>
      <c r="E230" s="83">
        <f>SUM(B205:B230)</f>
        <v>143</v>
      </c>
    </row>
    <row r="231" spans="1:5">
      <c r="A231" s="1">
        <v>44835</v>
      </c>
      <c r="B231" s="47">
        <v>6</v>
      </c>
      <c r="C231" s="47">
        <v>27</v>
      </c>
      <c r="D231" s="47">
        <v>162</v>
      </c>
      <c r="E231" s="47"/>
    </row>
    <row r="232" spans="1:5">
      <c r="A232" s="1">
        <v>44837</v>
      </c>
      <c r="B232" s="47">
        <v>5</v>
      </c>
      <c r="C232" s="47">
        <v>25.6</v>
      </c>
      <c r="D232" s="47">
        <v>128</v>
      </c>
      <c r="E232" s="47"/>
    </row>
    <row r="233" spans="1:5">
      <c r="A233" s="1">
        <v>44838</v>
      </c>
      <c r="B233" s="47">
        <v>4</v>
      </c>
      <c r="C233" s="47">
        <v>26.75</v>
      </c>
      <c r="D233" s="47">
        <v>107</v>
      </c>
      <c r="E233" s="47"/>
    </row>
    <row r="234" spans="1:5">
      <c r="A234" s="1">
        <v>44839</v>
      </c>
      <c r="B234" s="47">
        <v>6</v>
      </c>
      <c r="C234" s="47">
        <v>25.67</v>
      </c>
      <c r="D234" s="47">
        <v>154</v>
      </c>
      <c r="E234" s="47"/>
    </row>
    <row r="235" spans="1:5">
      <c r="A235" s="1">
        <v>44840</v>
      </c>
      <c r="B235" s="47">
        <v>6</v>
      </c>
      <c r="C235" s="47">
        <v>27.83</v>
      </c>
      <c r="D235" s="47">
        <v>167</v>
      </c>
      <c r="E235" s="47"/>
    </row>
    <row r="236" spans="1:5">
      <c r="A236" s="1">
        <v>44841</v>
      </c>
      <c r="B236" s="47">
        <v>5</v>
      </c>
      <c r="C236" s="47">
        <v>27.6</v>
      </c>
      <c r="D236" s="47">
        <v>138</v>
      </c>
      <c r="E236" s="47"/>
    </row>
    <row r="237" spans="1:5">
      <c r="A237" s="1">
        <v>44842</v>
      </c>
      <c r="B237" s="47">
        <v>6</v>
      </c>
      <c r="C237" s="47">
        <v>27.17</v>
      </c>
      <c r="D237" s="47">
        <v>163</v>
      </c>
      <c r="E237" s="47"/>
    </row>
    <row r="238" spans="1:5">
      <c r="A238" s="1">
        <v>44844</v>
      </c>
      <c r="B238" s="47">
        <v>3</v>
      </c>
      <c r="C238" s="47">
        <v>26.33</v>
      </c>
      <c r="D238" s="47">
        <v>79</v>
      </c>
      <c r="E238" s="47"/>
    </row>
    <row r="239" spans="1:5">
      <c r="A239" s="1">
        <v>44845</v>
      </c>
      <c r="B239" s="47">
        <v>4</v>
      </c>
      <c r="C239" s="47">
        <v>27.5</v>
      </c>
      <c r="D239" s="47">
        <v>110</v>
      </c>
      <c r="E239" s="47"/>
    </row>
    <row r="240" spans="1:5">
      <c r="A240" s="1">
        <v>44846</v>
      </c>
      <c r="B240" s="47">
        <v>6</v>
      </c>
      <c r="C240" s="47">
        <v>25.17</v>
      </c>
      <c r="D240" s="47">
        <v>151</v>
      </c>
      <c r="E240" s="47"/>
    </row>
    <row r="241" spans="1:5">
      <c r="A241" s="1">
        <v>44847</v>
      </c>
      <c r="B241" s="47">
        <v>6</v>
      </c>
      <c r="C241" s="47">
        <v>29</v>
      </c>
      <c r="D241" s="47">
        <v>174</v>
      </c>
      <c r="E241" s="47"/>
    </row>
    <row r="242" spans="1:5">
      <c r="A242" s="1">
        <v>44848</v>
      </c>
      <c r="B242" s="47">
        <v>6</v>
      </c>
      <c r="C242" s="47">
        <v>27</v>
      </c>
      <c r="D242" s="47">
        <v>162</v>
      </c>
      <c r="E242" s="47"/>
    </row>
    <row r="243" spans="1:5">
      <c r="A243" s="1">
        <v>44849</v>
      </c>
      <c r="B243" s="47">
        <v>5</v>
      </c>
      <c r="C243" s="47">
        <v>27</v>
      </c>
      <c r="D243" s="47">
        <v>135</v>
      </c>
      <c r="E243" s="47"/>
    </row>
    <row r="244" spans="1:5">
      <c r="A244" s="1">
        <v>44851</v>
      </c>
      <c r="B244" s="47">
        <v>6</v>
      </c>
      <c r="C244" s="47">
        <v>26.17</v>
      </c>
      <c r="D244" s="47">
        <v>157</v>
      </c>
      <c r="E244" s="47"/>
    </row>
    <row r="245" spans="1:5">
      <c r="A245" s="1">
        <v>44852</v>
      </c>
      <c r="B245" s="47">
        <v>4</v>
      </c>
      <c r="C245" s="47">
        <v>28.5</v>
      </c>
      <c r="D245" s="47">
        <v>114</v>
      </c>
      <c r="E245" s="47"/>
    </row>
    <row r="246" spans="1:5">
      <c r="A246" s="1">
        <v>44853</v>
      </c>
      <c r="B246" s="47">
        <v>4</v>
      </c>
      <c r="C246" s="47">
        <v>26.5</v>
      </c>
      <c r="D246" s="47">
        <v>106</v>
      </c>
      <c r="E246" s="47"/>
    </row>
    <row r="247" spans="1:5">
      <c r="A247" s="1">
        <v>44854</v>
      </c>
      <c r="B247" s="47">
        <v>6</v>
      </c>
      <c r="C247" s="47">
        <v>26.83</v>
      </c>
      <c r="D247" s="47">
        <v>161</v>
      </c>
      <c r="E247" s="47"/>
    </row>
    <row r="248" spans="1:5">
      <c r="A248" s="1">
        <v>44855</v>
      </c>
      <c r="B248" s="47">
        <v>6</v>
      </c>
      <c r="C248" s="47">
        <v>25.5</v>
      </c>
      <c r="D248" s="47">
        <v>153</v>
      </c>
      <c r="E248" s="47"/>
    </row>
    <row r="249" spans="1:5">
      <c r="A249" s="1">
        <v>44856</v>
      </c>
      <c r="B249" s="47">
        <v>6</v>
      </c>
      <c r="C249" s="47">
        <v>27</v>
      </c>
      <c r="D249" s="47">
        <v>162</v>
      </c>
      <c r="E249" s="47"/>
    </row>
    <row r="250" spans="1:5">
      <c r="A250" s="1">
        <v>44858</v>
      </c>
      <c r="B250" s="47">
        <v>6</v>
      </c>
      <c r="C250" s="47">
        <v>28.5</v>
      </c>
      <c r="D250" s="47">
        <v>171</v>
      </c>
      <c r="E250" s="47"/>
    </row>
    <row r="251" spans="1:5">
      <c r="A251" s="1">
        <v>44859</v>
      </c>
      <c r="B251" s="47">
        <v>3</v>
      </c>
      <c r="C251" s="47">
        <v>26.33</v>
      </c>
      <c r="D251" s="47">
        <v>79</v>
      </c>
      <c r="E251" s="47"/>
    </row>
    <row r="252" spans="1:5">
      <c r="A252" s="1">
        <v>44860</v>
      </c>
      <c r="B252" s="47">
        <v>6</v>
      </c>
      <c r="C252" s="47">
        <v>27</v>
      </c>
      <c r="D252" s="47">
        <v>162</v>
      </c>
      <c r="E252" s="47"/>
    </row>
    <row r="253" spans="1:5">
      <c r="A253" s="1">
        <v>44861</v>
      </c>
      <c r="B253" s="47">
        <v>6</v>
      </c>
      <c r="C253" s="47">
        <v>26.83</v>
      </c>
      <c r="D253" s="47">
        <v>161</v>
      </c>
      <c r="E253" s="47"/>
    </row>
    <row r="254" spans="1:5">
      <c r="A254" s="1">
        <v>44862</v>
      </c>
      <c r="B254" s="47">
        <v>6</v>
      </c>
      <c r="C254" s="47">
        <v>26.83</v>
      </c>
      <c r="D254" s="47">
        <v>161</v>
      </c>
      <c r="E254" s="47"/>
    </row>
    <row r="255" spans="1:5">
      <c r="A255" s="1">
        <v>44863</v>
      </c>
      <c r="B255" s="47">
        <v>6</v>
      </c>
      <c r="C255" s="47">
        <v>27</v>
      </c>
      <c r="D255" s="47">
        <v>162</v>
      </c>
      <c r="E255" s="47"/>
    </row>
    <row r="256" spans="1:5">
      <c r="A256" s="82">
        <v>44865</v>
      </c>
      <c r="B256" s="83">
        <v>4</v>
      </c>
      <c r="C256" s="83">
        <v>26</v>
      </c>
      <c r="D256" s="83">
        <v>104</v>
      </c>
      <c r="E256" s="83">
        <f>SUM(B231:B256)</f>
        <v>137</v>
      </c>
    </row>
    <row r="257" spans="1:5">
      <c r="A257" s="1">
        <v>44866</v>
      </c>
      <c r="B257" s="47">
        <v>6</v>
      </c>
      <c r="C257" s="47">
        <v>26.67</v>
      </c>
      <c r="D257" s="47">
        <v>160</v>
      </c>
      <c r="E257" s="47"/>
    </row>
    <row r="258" spans="1:5">
      <c r="A258" s="1">
        <v>44867</v>
      </c>
      <c r="B258" s="47">
        <v>6</v>
      </c>
      <c r="C258" s="47">
        <v>26.67</v>
      </c>
      <c r="D258" s="47">
        <v>160</v>
      </c>
      <c r="E258" s="47"/>
    </row>
    <row r="259" spans="1:5">
      <c r="A259" s="1">
        <v>44868</v>
      </c>
      <c r="B259" s="47">
        <v>6</v>
      </c>
      <c r="C259" s="47">
        <v>27.67</v>
      </c>
      <c r="D259" s="47">
        <v>166</v>
      </c>
      <c r="E259" s="47"/>
    </row>
    <row r="260" spans="1:5">
      <c r="A260" s="1">
        <v>44869</v>
      </c>
      <c r="B260" s="47">
        <v>5</v>
      </c>
      <c r="C260" s="47">
        <v>28.8</v>
      </c>
      <c r="D260" s="47">
        <v>144</v>
      </c>
      <c r="E260" s="47"/>
    </row>
    <row r="261" spans="1:5">
      <c r="A261" s="1">
        <v>44870</v>
      </c>
      <c r="B261" s="47">
        <v>5</v>
      </c>
      <c r="C261" s="47">
        <v>26.2</v>
      </c>
      <c r="D261" s="47">
        <v>131</v>
      </c>
      <c r="E261" s="47"/>
    </row>
    <row r="262" spans="1:5">
      <c r="A262" s="1">
        <v>44872</v>
      </c>
      <c r="B262" s="47">
        <v>3</v>
      </c>
      <c r="C262" s="47">
        <v>27.33</v>
      </c>
      <c r="D262" s="47">
        <v>82</v>
      </c>
      <c r="E262" s="47"/>
    </row>
    <row r="263" spans="1:5">
      <c r="A263" s="1">
        <v>44873</v>
      </c>
      <c r="B263" s="47">
        <v>6</v>
      </c>
      <c r="C263" s="47">
        <v>24.5</v>
      </c>
      <c r="D263" s="47">
        <v>147</v>
      </c>
      <c r="E263" s="47"/>
    </row>
    <row r="264" spans="1:5">
      <c r="A264" s="1">
        <v>44874</v>
      </c>
      <c r="B264" s="47">
        <v>4</v>
      </c>
      <c r="C264" s="47">
        <v>27.25</v>
      </c>
      <c r="D264" s="47">
        <v>109</v>
      </c>
      <c r="E264" s="47"/>
    </row>
    <row r="265" spans="1:5">
      <c r="A265" s="1">
        <v>44875</v>
      </c>
      <c r="B265" s="47">
        <v>5</v>
      </c>
      <c r="C265" s="47">
        <v>27.2</v>
      </c>
      <c r="D265" s="47">
        <v>136</v>
      </c>
      <c r="E265" s="47"/>
    </row>
    <row r="266" spans="1:5">
      <c r="A266" s="1">
        <v>44876</v>
      </c>
      <c r="B266" s="47">
        <v>4</v>
      </c>
      <c r="C266" s="47">
        <v>27.75</v>
      </c>
      <c r="D266" s="47">
        <v>111</v>
      </c>
      <c r="E266" s="47"/>
    </row>
    <row r="267" spans="1:5">
      <c r="A267" s="1">
        <v>44877</v>
      </c>
      <c r="B267" s="47">
        <v>6</v>
      </c>
      <c r="C267" s="47">
        <v>25.5</v>
      </c>
      <c r="D267" s="47">
        <v>153</v>
      </c>
      <c r="E267" s="47"/>
    </row>
    <row r="268" spans="1:5">
      <c r="A268" s="1">
        <v>44879</v>
      </c>
      <c r="B268" s="47">
        <v>6</v>
      </c>
      <c r="C268" s="47">
        <v>26.67</v>
      </c>
      <c r="D268" s="47">
        <v>160</v>
      </c>
      <c r="E268" s="47"/>
    </row>
    <row r="269" spans="1:5">
      <c r="A269" s="1">
        <v>44880</v>
      </c>
      <c r="B269" s="47">
        <v>4</v>
      </c>
      <c r="C269" s="47">
        <v>26.75</v>
      </c>
      <c r="D269" s="47">
        <v>107</v>
      </c>
      <c r="E269" s="47"/>
    </row>
    <row r="270" spans="1:5">
      <c r="A270" s="1">
        <v>44881</v>
      </c>
      <c r="B270" s="47">
        <v>6</v>
      </c>
      <c r="C270" s="47">
        <v>28</v>
      </c>
      <c r="D270" s="47">
        <v>168</v>
      </c>
      <c r="E270" s="47"/>
    </row>
    <row r="271" spans="1:5">
      <c r="A271" s="1">
        <v>44882</v>
      </c>
      <c r="B271" s="47">
        <v>6</v>
      </c>
      <c r="C271" s="47">
        <v>27</v>
      </c>
      <c r="D271" s="47">
        <v>162</v>
      </c>
      <c r="E271" s="47"/>
    </row>
    <row r="272" spans="1:5">
      <c r="A272" s="1">
        <v>44883</v>
      </c>
      <c r="B272" s="47">
        <v>6</v>
      </c>
      <c r="C272" s="47">
        <v>27.33</v>
      </c>
      <c r="D272" s="47">
        <v>164</v>
      </c>
      <c r="E272" s="47"/>
    </row>
    <row r="273" spans="1:5">
      <c r="A273" s="1">
        <v>44884</v>
      </c>
      <c r="B273" s="47">
        <v>2</v>
      </c>
      <c r="C273" s="47">
        <v>26</v>
      </c>
      <c r="D273" s="47">
        <v>52</v>
      </c>
      <c r="E273" s="47"/>
    </row>
    <row r="274" spans="1:5">
      <c r="A274" s="1">
        <v>44886</v>
      </c>
      <c r="B274" s="47">
        <v>4</v>
      </c>
      <c r="C274" s="47">
        <v>25.5</v>
      </c>
      <c r="D274" s="47">
        <v>102</v>
      </c>
      <c r="E274" s="47"/>
    </row>
    <row r="275" spans="1:5">
      <c r="A275" s="1">
        <v>44887</v>
      </c>
      <c r="B275" s="47">
        <v>4</v>
      </c>
      <c r="C275" s="47">
        <v>25.5</v>
      </c>
      <c r="D275" s="47">
        <v>102</v>
      </c>
      <c r="E275" s="47"/>
    </row>
    <row r="276" spans="1:5">
      <c r="A276" s="1">
        <v>44888</v>
      </c>
      <c r="B276" s="47">
        <v>6</v>
      </c>
      <c r="C276" s="47">
        <v>27.33</v>
      </c>
      <c r="D276" s="47">
        <v>164</v>
      </c>
      <c r="E276" s="47"/>
    </row>
    <row r="277" spans="1:5">
      <c r="A277" s="1">
        <v>44889</v>
      </c>
      <c r="B277" s="47">
        <v>6</v>
      </c>
      <c r="C277" s="47">
        <v>27.17</v>
      </c>
      <c r="D277" s="47">
        <v>163</v>
      </c>
      <c r="E277" s="47"/>
    </row>
    <row r="278" spans="1:5">
      <c r="A278" s="1">
        <v>44890</v>
      </c>
      <c r="B278" s="47">
        <v>5</v>
      </c>
      <c r="C278" s="47">
        <v>26.8</v>
      </c>
      <c r="D278" s="47">
        <v>134</v>
      </c>
      <c r="E278" s="47"/>
    </row>
    <row r="279" spans="1:5">
      <c r="A279" s="1">
        <v>44891</v>
      </c>
      <c r="B279" s="47">
        <v>6</v>
      </c>
      <c r="C279" s="47">
        <v>26.33</v>
      </c>
      <c r="D279" s="47">
        <v>158</v>
      </c>
      <c r="E279" s="47"/>
    </row>
    <row r="280" spans="1:5">
      <c r="A280" s="1">
        <v>44893</v>
      </c>
      <c r="B280" s="47">
        <v>2</v>
      </c>
      <c r="C280" s="47">
        <v>29.5</v>
      </c>
      <c r="D280" s="47">
        <v>59</v>
      </c>
      <c r="E280" s="47"/>
    </row>
    <row r="281" spans="1:5">
      <c r="A281" s="1">
        <v>44894</v>
      </c>
      <c r="B281" s="47">
        <v>6</v>
      </c>
      <c r="C281" s="47">
        <v>25.17</v>
      </c>
      <c r="D281" s="47">
        <v>151</v>
      </c>
      <c r="E281" s="47"/>
    </row>
    <row r="282" spans="1:5">
      <c r="A282" s="82">
        <v>44895</v>
      </c>
      <c r="B282" s="83">
        <v>6</v>
      </c>
      <c r="C282" s="83">
        <v>26.67</v>
      </c>
      <c r="D282" s="83">
        <v>160</v>
      </c>
      <c r="E282" s="83">
        <f>SUM(B257:B282)</f>
        <v>131</v>
      </c>
    </row>
    <row r="283" spans="1:5">
      <c r="A283" s="1">
        <v>44896</v>
      </c>
      <c r="B283" s="47">
        <v>6</v>
      </c>
      <c r="C283" s="47">
        <v>28.17</v>
      </c>
      <c r="D283" s="47">
        <v>169</v>
      </c>
      <c r="E283" s="47"/>
    </row>
    <row r="284" spans="1:5">
      <c r="A284" s="1">
        <v>44897</v>
      </c>
      <c r="B284" s="47">
        <v>6</v>
      </c>
      <c r="C284" s="47">
        <v>27.5</v>
      </c>
      <c r="D284" s="47">
        <v>165</v>
      </c>
      <c r="E284" s="47"/>
    </row>
    <row r="285" spans="1:5">
      <c r="A285" s="1">
        <v>44898</v>
      </c>
      <c r="B285" s="47">
        <v>4</v>
      </c>
      <c r="C285" s="47">
        <v>26</v>
      </c>
      <c r="D285" s="47">
        <v>104</v>
      </c>
      <c r="E285" s="47"/>
    </row>
    <row r="286" spans="1:5">
      <c r="A286" s="1">
        <v>44900</v>
      </c>
      <c r="B286" s="47">
        <v>2</v>
      </c>
      <c r="C286" s="47">
        <v>24.5</v>
      </c>
      <c r="D286" s="47">
        <v>49</v>
      </c>
      <c r="E286" s="47"/>
    </row>
    <row r="287" spans="1:5">
      <c r="A287" s="1">
        <v>44901</v>
      </c>
      <c r="B287" s="47">
        <v>4</v>
      </c>
      <c r="C287" s="47">
        <v>27.25</v>
      </c>
      <c r="D287" s="47">
        <v>109</v>
      </c>
      <c r="E287" s="47"/>
    </row>
    <row r="288" spans="1:5">
      <c r="A288" s="1">
        <v>44902</v>
      </c>
      <c r="B288" s="47">
        <v>6</v>
      </c>
      <c r="C288" s="47">
        <v>26.33</v>
      </c>
      <c r="D288" s="47">
        <v>158</v>
      </c>
      <c r="E288" s="47"/>
    </row>
    <row r="289" spans="1:5">
      <c r="A289" s="1">
        <v>44903</v>
      </c>
      <c r="B289" s="47">
        <v>6</v>
      </c>
      <c r="C289" s="47">
        <v>26.33</v>
      </c>
      <c r="D289" s="47">
        <v>158</v>
      </c>
      <c r="E289" s="47"/>
    </row>
    <row r="290" spans="1:5">
      <c r="A290" s="1">
        <v>44904</v>
      </c>
      <c r="B290" s="47">
        <v>5</v>
      </c>
      <c r="C290" s="47">
        <v>27.2</v>
      </c>
      <c r="D290" s="47">
        <v>136</v>
      </c>
      <c r="E290" s="47"/>
    </row>
    <row r="291" spans="1:5">
      <c r="A291" s="1">
        <v>44905</v>
      </c>
      <c r="B291" s="47">
        <v>5</v>
      </c>
      <c r="C291" s="47">
        <v>27.2</v>
      </c>
      <c r="D291" s="47">
        <v>136</v>
      </c>
      <c r="E291" s="47"/>
    </row>
    <row r="292" spans="1:5">
      <c r="A292" s="1">
        <v>44907</v>
      </c>
      <c r="B292" s="47">
        <v>2</v>
      </c>
      <c r="C292" s="47">
        <v>26</v>
      </c>
      <c r="D292" s="47">
        <v>52</v>
      </c>
      <c r="E292" s="47"/>
    </row>
    <row r="293" spans="1:5">
      <c r="A293" s="1">
        <v>44908</v>
      </c>
      <c r="B293" s="47">
        <v>3</v>
      </c>
      <c r="C293" s="47">
        <v>25.33</v>
      </c>
      <c r="D293" s="47">
        <v>76</v>
      </c>
      <c r="E293" s="47"/>
    </row>
    <row r="294" spans="1:5">
      <c r="A294" s="1">
        <v>44909</v>
      </c>
      <c r="B294" s="47">
        <v>3</v>
      </c>
      <c r="C294" s="47">
        <v>27</v>
      </c>
      <c r="D294" s="47">
        <v>81</v>
      </c>
      <c r="E294" s="47"/>
    </row>
    <row r="295" spans="1:5">
      <c r="A295" s="1">
        <v>44910</v>
      </c>
      <c r="B295" s="47">
        <v>6</v>
      </c>
      <c r="C295" s="47">
        <v>28</v>
      </c>
      <c r="D295" s="47">
        <v>168</v>
      </c>
      <c r="E295" s="47"/>
    </row>
    <row r="296" spans="1:5">
      <c r="A296" s="1">
        <v>44911</v>
      </c>
      <c r="B296" s="47">
        <v>3</v>
      </c>
      <c r="C296" s="47">
        <v>23.67</v>
      </c>
      <c r="D296" s="47">
        <v>71</v>
      </c>
      <c r="E296" s="47"/>
    </row>
    <row r="297" spans="1:5">
      <c r="A297" s="1">
        <v>44912</v>
      </c>
      <c r="B297" s="47">
        <v>2</v>
      </c>
      <c r="C297" s="47">
        <v>28.5</v>
      </c>
      <c r="D297" s="47">
        <v>57</v>
      </c>
      <c r="E297" s="47"/>
    </row>
    <row r="298" spans="1:5">
      <c r="A298" s="1">
        <v>44914</v>
      </c>
      <c r="B298" s="47">
        <v>3</v>
      </c>
      <c r="C298" s="47">
        <v>25.33</v>
      </c>
      <c r="D298" s="47">
        <v>76</v>
      </c>
      <c r="E298" s="47"/>
    </row>
    <row r="299" spans="1:5">
      <c r="A299" s="1">
        <v>44915</v>
      </c>
      <c r="B299" s="47">
        <v>4</v>
      </c>
      <c r="C299" s="47">
        <v>29</v>
      </c>
      <c r="D299" s="47">
        <v>116</v>
      </c>
      <c r="E299" s="47"/>
    </row>
    <row r="300" spans="1:5">
      <c r="A300" s="1">
        <v>44916</v>
      </c>
      <c r="B300" s="47">
        <v>5</v>
      </c>
      <c r="C300" s="47">
        <v>24.8</v>
      </c>
      <c r="D300" s="47">
        <v>124</v>
      </c>
      <c r="E300" s="47"/>
    </row>
    <row r="301" spans="1:5">
      <c r="A301" s="1">
        <v>44917</v>
      </c>
      <c r="B301" s="47">
        <v>6</v>
      </c>
      <c r="C301" s="47">
        <v>27</v>
      </c>
      <c r="D301" s="47">
        <v>162</v>
      </c>
      <c r="E301" s="47"/>
    </row>
    <row r="302" spans="1:5">
      <c r="A302" s="1">
        <v>44918</v>
      </c>
      <c r="B302" s="47">
        <v>2</v>
      </c>
      <c r="C302" s="47">
        <v>27.5</v>
      </c>
      <c r="D302" s="47">
        <v>55</v>
      </c>
      <c r="E302" s="47"/>
    </row>
    <row r="303" spans="1:5">
      <c r="A303" s="1">
        <v>44919</v>
      </c>
      <c r="B303" s="47">
        <v>6</v>
      </c>
      <c r="C303" s="47">
        <v>28.83</v>
      </c>
      <c r="D303" s="47">
        <v>173</v>
      </c>
      <c r="E303" s="47"/>
    </row>
    <row r="304" spans="1:5">
      <c r="A304" s="1">
        <v>44922</v>
      </c>
      <c r="B304" s="47">
        <v>2</v>
      </c>
      <c r="C304" s="47">
        <v>24</v>
      </c>
      <c r="D304" s="47">
        <v>48</v>
      </c>
      <c r="E304" s="47"/>
    </row>
    <row r="305" spans="1:5">
      <c r="A305" s="1">
        <v>44923</v>
      </c>
      <c r="B305" s="47">
        <v>4</v>
      </c>
      <c r="C305" s="47">
        <v>25.25</v>
      </c>
      <c r="D305" s="47">
        <v>101</v>
      </c>
      <c r="E305" s="47"/>
    </row>
    <row r="306" spans="1:5">
      <c r="A306" s="1">
        <v>44924</v>
      </c>
      <c r="B306" s="47">
        <v>6</v>
      </c>
      <c r="C306" s="47">
        <v>27.5</v>
      </c>
      <c r="D306" s="47">
        <v>165</v>
      </c>
      <c r="E306" s="47"/>
    </row>
    <row r="307" spans="1:5">
      <c r="A307" s="1">
        <v>44925</v>
      </c>
      <c r="B307" s="47">
        <v>6</v>
      </c>
      <c r="C307" s="47">
        <v>28.33</v>
      </c>
      <c r="D307" s="47">
        <v>170</v>
      </c>
      <c r="E307" s="47"/>
    </row>
    <row r="308" spans="1:5">
      <c r="A308" s="82">
        <v>44926</v>
      </c>
      <c r="B308" s="83">
        <v>3</v>
      </c>
      <c r="C308" s="83">
        <v>26.67</v>
      </c>
      <c r="D308" s="83">
        <v>80</v>
      </c>
      <c r="E308" s="83">
        <f>SUM(B283:B308)</f>
        <v>110</v>
      </c>
    </row>
    <row r="309" spans="1:5">
      <c r="B309" s="47"/>
      <c r="C309" s="47"/>
      <c r="D309" s="47"/>
      <c r="E309" s="47"/>
    </row>
    <row r="310" spans="1:5">
      <c r="A310" s="1" t="s">
        <v>4</v>
      </c>
      <c r="B310" s="47">
        <f>SUM(B2:B308)</f>
        <v>1455</v>
      </c>
      <c r="C310" s="47"/>
      <c r="D310" s="47">
        <f>SUM(D2:D308)</f>
        <v>39214</v>
      </c>
      <c r="E310" s="47"/>
    </row>
    <row r="312" spans="1:5">
      <c r="A312" s="1" t="s">
        <v>5</v>
      </c>
      <c r="B312" s="2" t="s">
        <v>6</v>
      </c>
      <c r="D312" s="2">
        <f>D310*0.23</f>
        <v>9019.2200000000012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E81D-5067-47B2-8835-C87AD7398673}">
  <dimension ref="A1:F115"/>
  <sheetViews>
    <sheetView workbookViewId="0">
      <selection activeCell="K6" sqref="K6"/>
    </sheetView>
  </sheetViews>
  <sheetFormatPr defaultRowHeight="12.75"/>
  <cols>
    <col min="1" max="1" width="14.7109375" style="1" customWidth="1"/>
    <col min="2" max="2" width="17.28515625" style="2" bestFit="1" customWidth="1"/>
    <col min="3" max="3" width="12.42578125" style="2" bestFit="1" customWidth="1"/>
    <col min="4" max="4" width="10.140625" style="2" bestFit="1" customWidth="1"/>
    <col min="5" max="5" width="9.85546875" style="2" bestFit="1" customWidth="1"/>
    <col min="6" max="6" width="11.5703125" style="2" bestFit="1" customWidth="1"/>
  </cols>
  <sheetData>
    <row r="1" spans="1:6">
      <c r="A1" s="3" t="s">
        <v>7</v>
      </c>
      <c r="B1" s="4" t="s">
        <v>8</v>
      </c>
      <c r="C1" s="4" t="s">
        <v>9</v>
      </c>
      <c r="D1" s="4" t="s">
        <v>2</v>
      </c>
      <c r="E1" s="4" t="s">
        <v>3</v>
      </c>
      <c r="F1" s="4" t="s">
        <v>10</v>
      </c>
    </row>
    <row r="2" spans="1:6">
      <c r="A2" s="1">
        <v>44567</v>
      </c>
      <c r="B2" s="2">
        <v>180</v>
      </c>
      <c r="C2" s="2">
        <v>6</v>
      </c>
      <c r="D2" s="2">
        <v>26</v>
      </c>
      <c r="E2" s="2">
        <v>156</v>
      </c>
      <c r="F2" s="2">
        <v>15</v>
      </c>
    </row>
    <row r="3" spans="1:6">
      <c r="A3" s="1">
        <v>44571</v>
      </c>
      <c r="B3" s="2">
        <v>237</v>
      </c>
      <c r="C3" s="2">
        <v>7</v>
      </c>
      <c r="D3" s="2">
        <v>27</v>
      </c>
      <c r="E3" s="2">
        <v>189</v>
      </c>
      <c r="F3" s="2">
        <v>15</v>
      </c>
    </row>
    <row r="4" spans="1:6">
      <c r="A4" s="1">
        <v>44578</v>
      </c>
      <c r="B4" s="2">
        <v>100</v>
      </c>
      <c r="C4" s="2">
        <v>3</v>
      </c>
      <c r="D4" s="2">
        <v>28</v>
      </c>
      <c r="E4" s="2">
        <v>84</v>
      </c>
      <c r="F4" s="2">
        <v>15</v>
      </c>
    </row>
    <row r="5" spans="1:6">
      <c r="A5" s="1">
        <v>44579</v>
      </c>
      <c r="B5" s="2">
        <v>252</v>
      </c>
      <c r="C5" s="2">
        <v>8</v>
      </c>
      <c r="D5" s="2">
        <v>29</v>
      </c>
      <c r="E5" s="2">
        <v>232</v>
      </c>
      <c r="F5" s="2">
        <v>15</v>
      </c>
    </row>
    <row r="6" spans="1:6">
      <c r="A6" s="1">
        <v>44585</v>
      </c>
      <c r="B6" s="2">
        <v>67</v>
      </c>
      <c r="C6" s="2">
        <v>2</v>
      </c>
      <c r="D6" s="2">
        <v>30</v>
      </c>
      <c r="E6" s="2">
        <v>60</v>
      </c>
      <c r="F6" s="2">
        <v>15</v>
      </c>
    </row>
    <row r="7" spans="1:6">
      <c r="A7" s="1">
        <v>44587</v>
      </c>
      <c r="B7" s="2">
        <v>75</v>
      </c>
      <c r="C7" s="2">
        <v>2</v>
      </c>
      <c r="D7" s="2">
        <v>31</v>
      </c>
      <c r="E7" s="2">
        <v>62</v>
      </c>
      <c r="F7" s="2">
        <v>15</v>
      </c>
    </row>
    <row r="8" spans="1:6">
      <c r="A8" s="1">
        <v>44589</v>
      </c>
      <c r="B8" s="2">
        <v>70</v>
      </c>
      <c r="C8" s="2">
        <v>2</v>
      </c>
      <c r="D8" s="2">
        <v>23</v>
      </c>
      <c r="E8" s="2">
        <v>46</v>
      </c>
      <c r="F8" s="2">
        <v>15</v>
      </c>
    </row>
    <row r="9" spans="1:6">
      <c r="A9" s="1">
        <v>44592</v>
      </c>
      <c r="B9" s="2">
        <v>1102</v>
      </c>
      <c r="C9" s="2">
        <v>34</v>
      </c>
      <c r="D9" s="2">
        <v>24</v>
      </c>
      <c r="E9" s="2">
        <v>816</v>
      </c>
      <c r="F9" s="2">
        <v>20</v>
      </c>
    </row>
    <row r="10" spans="1:6">
      <c r="A10" s="1">
        <v>44597</v>
      </c>
      <c r="B10" s="2">
        <v>390</v>
      </c>
      <c r="C10" s="2">
        <v>12</v>
      </c>
      <c r="D10" s="2">
        <v>25</v>
      </c>
      <c r="E10" s="2">
        <v>300</v>
      </c>
      <c r="F10" s="2">
        <v>15</v>
      </c>
    </row>
    <row r="11" spans="1:6">
      <c r="A11" s="1">
        <v>44600</v>
      </c>
      <c r="B11" s="2">
        <v>342</v>
      </c>
      <c r="C11" s="2">
        <v>11</v>
      </c>
      <c r="D11" s="2">
        <v>26</v>
      </c>
      <c r="E11" s="2">
        <v>286</v>
      </c>
      <c r="F11" s="2">
        <v>15</v>
      </c>
    </row>
    <row r="12" spans="1:6">
      <c r="A12" s="1">
        <v>44601</v>
      </c>
      <c r="B12" s="2">
        <v>300</v>
      </c>
      <c r="C12" s="2">
        <v>9</v>
      </c>
      <c r="D12" s="2">
        <v>27</v>
      </c>
      <c r="E12" s="2">
        <v>243</v>
      </c>
      <c r="F12" s="2">
        <v>15</v>
      </c>
    </row>
    <row r="13" spans="1:6">
      <c r="A13" s="1">
        <v>44602</v>
      </c>
      <c r="B13" s="2">
        <v>372</v>
      </c>
      <c r="C13" s="2">
        <v>11</v>
      </c>
      <c r="D13" s="2">
        <v>28</v>
      </c>
      <c r="E13" s="2">
        <v>308</v>
      </c>
      <c r="F13" s="2">
        <v>15</v>
      </c>
    </row>
    <row r="14" spans="1:6">
      <c r="A14" s="1">
        <v>44607</v>
      </c>
      <c r="B14" s="2">
        <v>350</v>
      </c>
      <c r="C14" s="2">
        <v>11</v>
      </c>
      <c r="D14" s="2">
        <v>29</v>
      </c>
      <c r="E14" s="2">
        <v>319</v>
      </c>
      <c r="F14" s="2">
        <v>15</v>
      </c>
    </row>
    <row r="15" spans="1:6">
      <c r="A15" s="1">
        <v>44608</v>
      </c>
      <c r="B15" s="2">
        <v>350</v>
      </c>
      <c r="C15" s="2">
        <v>11</v>
      </c>
      <c r="D15" s="2">
        <v>30</v>
      </c>
      <c r="E15" s="2">
        <v>330</v>
      </c>
      <c r="F15" s="2">
        <v>15</v>
      </c>
    </row>
    <row r="16" spans="1:6">
      <c r="A16" s="1">
        <v>44616</v>
      </c>
      <c r="B16" s="2">
        <v>876.5</v>
      </c>
      <c r="C16" s="2">
        <v>27</v>
      </c>
      <c r="D16" s="2">
        <v>31</v>
      </c>
      <c r="E16" s="2">
        <v>837</v>
      </c>
      <c r="F16" s="2">
        <v>20</v>
      </c>
    </row>
    <row r="17" spans="1:6">
      <c r="A17" s="1">
        <v>44619</v>
      </c>
      <c r="B17" s="2">
        <v>192</v>
      </c>
      <c r="C17" s="2">
        <v>6</v>
      </c>
      <c r="D17" s="2">
        <v>23</v>
      </c>
      <c r="E17" s="2">
        <v>138</v>
      </c>
      <c r="F17" s="2">
        <v>15</v>
      </c>
    </row>
    <row r="18" spans="1:6">
      <c r="A18" s="1">
        <v>44622</v>
      </c>
      <c r="B18" s="2">
        <v>350</v>
      </c>
      <c r="C18" s="2">
        <v>11</v>
      </c>
      <c r="D18" s="2">
        <v>24</v>
      </c>
      <c r="E18" s="2">
        <v>264</v>
      </c>
      <c r="F18" s="2">
        <v>15</v>
      </c>
    </row>
    <row r="19" spans="1:6">
      <c r="A19" s="1">
        <v>44623</v>
      </c>
      <c r="B19" s="2">
        <v>670</v>
      </c>
      <c r="C19" s="2">
        <v>21</v>
      </c>
      <c r="D19" s="2">
        <v>25</v>
      </c>
      <c r="E19" s="2">
        <v>525</v>
      </c>
      <c r="F19" s="2">
        <v>20</v>
      </c>
    </row>
    <row r="20" spans="1:6">
      <c r="A20" s="1">
        <v>44630</v>
      </c>
      <c r="B20" s="2">
        <v>90</v>
      </c>
      <c r="C20" s="2">
        <v>3</v>
      </c>
      <c r="D20" s="2">
        <v>26</v>
      </c>
      <c r="E20" s="2">
        <v>78</v>
      </c>
      <c r="F20" s="2">
        <v>15</v>
      </c>
    </row>
    <row r="21" spans="1:6">
      <c r="A21" s="1">
        <v>44631</v>
      </c>
      <c r="B21" s="2">
        <v>402</v>
      </c>
      <c r="C21" s="2">
        <v>12</v>
      </c>
      <c r="D21" s="2">
        <v>27</v>
      </c>
      <c r="E21" s="2">
        <v>324</v>
      </c>
      <c r="F21" s="2">
        <v>15</v>
      </c>
    </row>
    <row r="22" spans="1:6">
      <c r="A22" s="1">
        <v>44635</v>
      </c>
      <c r="B22" s="2">
        <v>269.5</v>
      </c>
      <c r="C22" s="2">
        <v>8</v>
      </c>
      <c r="D22" s="2">
        <v>28</v>
      </c>
      <c r="E22" s="2">
        <v>224</v>
      </c>
      <c r="F22" s="2">
        <v>15</v>
      </c>
    </row>
    <row r="23" spans="1:6">
      <c r="A23" s="1">
        <v>44638</v>
      </c>
      <c r="B23" s="2">
        <v>925</v>
      </c>
      <c r="C23" s="2">
        <v>28</v>
      </c>
      <c r="D23" s="2">
        <v>29</v>
      </c>
      <c r="E23" s="2">
        <v>812</v>
      </c>
      <c r="F23" s="2">
        <v>20</v>
      </c>
    </row>
    <row r="24" spans="1:6">
      <c r="A24" s="1">
        <v>44640</v>
      </c>
      <c r="B24" s="2">
        <v>150</v>
      </c>
      <c r="C24" s="2">
        <v>5</v>
      </c>
      <c r="D24" s="2">
        <v>30</v>
      </c>
      <c r="E24" s="2">
        <v>150</v>
      </c>
      <c r="F24" s="2">
        <v>15</v>
      </c>
    </row>
    <row r="25" spans="1:6">
      <c r="A25" s="1">
        <v>44641</v>
      </c>
      <c r="B25" s="2">
        <v>350</v>
      </c>
      <c r="C25" s="2">
        <v>11</v>
      </c>
      <c r="D25" s="2">
        <v>31</v>
      </c>
      <c r="E25" s="2">
        <v>341</v>
      </c>
      <c r="F25" s="2">
        <v>15</v>
      </c>
    </row>
    <row r="26" spans="1:6">
      <c r="A26" s="1">
        <v>44643</v>
      </c>
      <c r="B26" s="2">
        <v>300</v>
      </c>
      <c r="C26" s="2">
        <v>9</v>
      </c>
      <c r="D26" s="2">
        <v>23</v>
      </c>
      <c r="E26" s="2">
        <v>207</v>
      </c>
      <c r="F26" s="2">
        <v>15</v>
      </c>
    </row>
    <row r="27" spans="1:6">
      <c r="A27" s="1">
        <v>44644</v>
      </c>
      <c r="B27" s="2">
        <v>290</v>
      </c>
      <c r="C27" s="2">
        <v>9</v>
      </c>
      <c r="D27" s="2">
        <v>24</v>
      </c>
      <c r="E27" s="2">
        <v>216</v>
      </c>
      <c r="F27" s="2">
        <v>15</v>
      </c>
    </row>
    <row r="28" spans="1:6">
      <c r="A28" s="1">
        <v>44651</v>
      </c>
      <c r="B28" s="2">
        <v>757</v>
      </c>
      <c r="C28" s="2">
        <v>23</v>
      </c>
      <c r="D28" s="2">
        <v>25</v>
      </c>
      <c r="E28" s="2">
        <v>575</v>
      </c>
      <c r="F28" s="2">
        <v>20</v>
      </c>
    </row>
    <row r="29" spans="1:6">
      <c r="A29" s="1">
        <v>44652</v>
      </c>
      <c r="B29" s="2">
        <v>609.69000000000005</v>
      </c>
      <c r="C29" s="2">
        <v>19</v>
      </c>
      <c r="D29" s="2">
        <v>26</v>
      </c>
      <c r="E29" s="2">
        <v>494</v>
      </c>
      <c r="F29" s="2">
        <v>19</v>
      </c>
    </row>
    <row r="30" spans="1:6">
      <c r="A30" s="1">
        <v>44655</v>
      </c>
      <c r="B30" s="2">
        <v>172</v>
      </c>
      <c r="C30" s="2">
        <v>5</v>
      </c>
      <c r="D30" s="2">
        <v>27</v>
      </c>
      <c r="E30" s="2">
        <v>135</v>
      </c>
      <c r="F30" s="2">
        <v>15</v>
      </c>
    </row>
    <row r="31" spans="1:6">
      <c r="A31" s="1">
        <v>44656</v>
      </c>
      <c r="B31" s="2">
        <v>75</v>
      </c>
      <c r="C31" s="2">
        <v>2</v>
      </c>
      <c r="D31" s="2">
        <v>28</v>
      </c>
      <c r="E31" s="2">
        <v>56</v>
      </c>
      <c r="F31" s="2">
        <v>15</v>
      </c>
    </row>
    <row r="32" spans="1:6">
      <c r="A32" s="1">
        <v>44662</v>
      </c>
      <c r="B32" s="2">
        <v>350</v>
      </c>
      <c r="C32" s="2">
        <v>11</v>
      </c>
      <c r="D32" s="2">
        <v>29</v>
      </c>
      <c r="E32" s="2">
        <v>319</v>
      </c>
      <c r="F32" s="2">
        <v>15</v>
      </c>
    </row>
    <row r="33" spans="1:6">
      <c r="A33" s="1">
        <v>44663</v>
      </c>
      <c r="B33" s="2">
        <v>375</v>
      </c>
      <c r="C33" s="2">
        <v>12</v>
      </c>
      <c r="D33" s="2">
        <v>30</v>
      </c>
      <c r="E33" s="2">
        <v>360</v>
      </c>
      <c r="F33" s="2">
        <v>15</v>
      </c>
    </row>
    <row r="34" spans="1:6">
      <c r="A34" s="1">
        <v>44665</v>
      </c>
      <c r="B34" s="2">
        <v>1425</v>
      </c>
      <c r="C34" s="2">
        <v>44</v>
      </c>
      <c r="D34" s="2">
        <v>31</v>
      </c>
      <c r="E34" s="2">
        <v>1364</v>
      </c>
      <c r="F34" s="2">
        <v>20</v>
      </c>
    </row>
    <row r="35" spans="1:6">
      <c r="A35" s="1">
        <v>44672</v>
      </c>
      <c r="B35" s="2">
        <v>77</v>
      </c>
      <c r="C35" s="2">
        <v>2</v>
      </c>
      <c r="D35" s="2">
        <v>23</v>
      </c>
      <c r="E35" s="2">
        <v>46</v>
      </c>
      <c r="F35" s="2">
        <v>15</v>
      </c>
    </row>
    <row r="36" spans="1:6">
      <c r="A36" s="1">
        <v>44675</v>
      </c>
      <c r="B36" s="2">
        <v>835</v>
      </c>
      <c r="C36" s="2">
        <v>26</v>
      </c>
      <c r="D36" s="2">
        <v>24</v>
      </c>
      <c r="E36" s="2">
        <v>624</v>
      </c>
      <c r="F36" s="2">
        <v>20</v>
      </c>
    </row>
    <row r="37" spans="1:6">
      <c r="A37" s="1">
        <v>44676</v>
      </c>
      <c r="B37" s="2">
        <v>325</v>
      </c>
      <c r="C37" s="2">
        <v>10</v>
      </c>
      <c r="D37" s="2">
        <v>25</v>
      </c>
      <c r="E37" s="2">
        <v>250</v>
      </c>
      <c r="F37" s="2">
        <v>15</v>
      </c>
    </row>
    <row r="38" spans="1:6">
      <c r="A38" s="1">
        <v>44677</v>
      </c>
      <c r="B38" s="2">
        <v>217</v>
      </c>
      <c r="C38" s="2">
        <v>7</v>
      </c>
      <c r="D38" s="2">
        <v>26</v>
      </c>
      <c r="E38" s="2">
        <v>182</v>
      </c>
      <c r="F38" s="2">
        <v>15</v>
      </c>
    </row>
    <row r="39" spans="1:6">
      <c r="A39" s="1">
        <v>44678</v>
      </c>
      <c r="B39" s="2">
        <v>375</v>
      </c>
      <c r="C39" s="2">
        <v>12</v>
      </c>
      <c r="D39" s="2">
        <v>27</v>
      </c>
      <c r="E39" s="2">
        <v>324</v>
      </c>
      <c r="F39" s="2">
        <v>15</v>
      </c>
    </row>
    <row r="40" spans="1:6">
      <c r="A40" s="1">
        <v>44680</v>
      </c>
      <c r="B40" s="2">
        <v>70</v>
      </c>
      <c r="C40" s="2">
        <v>2</v>
      </c>
      <c r="D40" s="2">
        <v>28</v>
      </c>
      <c r="E40" s="2">
        <v>56</v>
      </c>
      <c r="F40" s="2">
        <v>15</v>
      </c>
    </row>
    <row r="41" spans="1:6">
      <c r="A41" s="1">
        <v>44686</v>
      </c>
      <c r="B41" s="2">
        <v>597</v>
      </c>
      <c r="C41" s="2">
        <v>18</v>
      </c>
      <c r="D41" s="2">
        <v>29</v>
      </c>
      <c r="E41" s="2">
        <v>522</v>
      </c>
      <c r="F41" s="2">
        <v>18</v>
      </c>
    </row>
    <row r="42" spans="1:6">
      <c r="A42" s="1">
        <v>44687</v>
      </c>
      <c r="B42" s="2">
        <v>375</v>
      </c>
      <c r="C42" s="2">
        <v>12</v>
      </c>
      <c r="D42" s="2">
        <v>30</v>
      </c>
      <c r="E42" s="2">
        <v>360</v>
      </c>
      <c r="F42" s="2">
        <v>15</v>
      </c>
    </row>
    <row r="43" spans="1:6">
      <c r="A43" s="1">
        <v>44700</v>
      </c>
      <c r="B43" s="2">
        <v>464.5</v>
      </c>
      <c r="C43" s="2">
        <v>14</v>
      </c>
      <c r="D43" s="2">
        <v>31</v>
      </c>
      <c r="E43" s="2">
        <v>434</v>
      </c>
      <c r="F43" s="2">
        <v>15</v>
      </c>
    </row>
    <row r="44" spans="1:6">
      <c r="A44" s="1">
        <v>44701</v>
      </c>
      <c r="B44" s="2">
        <v>375</v>
      </c>
      <c r="C44" s="2">
        <v>12</v>
      </c>
      <c r="D44" s="2">
        <v>23</v>
      </c>
      <c r="E44" s="2">
        <v>276</v>
      </c>
      <c r="F44" s="2">
        <v>15</v>
      </c>
    </row>
    <row r="45" spans="1:6">
      <c r="A45" s="1">
        <v>44702</v>
      </c>
      <c r="B45" s="2">
        <v>1047</v>
      </c>
      <c r="C45" s="2">
        <v>32</v>
      </c>
      <c r="D45" s="2">
        <v>24</v>
      </c>
      <c r="E45" s="2">
        <v>768</v>
      </c>
      <c r="F45" s="2">
        <v>20</v>
      </c>
    </row>
    <row r="46" spans="1:6">
      <c r="A46" s="1">
        <v>44704</v>
      </c>
      <c r="B46" s="2">
        <v>375</v>
      </c>
      <c r="C46" s="2">
        <v>12</v>
      </c>
      <c r="D46" s="2">
        <v>25</v>
      </c>
      <c r="E46" s="2">
        <v>300</v>
      </c>
      <c r="F46" s="2">
        <v>15</v>
      </c>
    </row>
    <row r="47" spans="1:6">
      <c r="A47" s="1">
        <v>44706</v>
      </c>
      <c r="B47" s="2">
        <v>375</v>
      </c>
      <c r="C47" s="2">
        <v>12</v>
      </c>
      <c r="D47" s="2">
        <v>26</v>
      </c>
      <c r="E47" s="2">
        <v>312</v>
      </c>
      <c r="F47" s="2">
        <v>15</v>
      </c>
    </row>
    <row r="48" spans="1:6">
      <c r="A48" s="1">
        <v>44708</v>
      </c>
      <c r="B48" s="2">
        <v>375</v>
      </c>
      <c r="C48" s="2">
        <v>12</v>
      </c>
      <c r="D48" s="2">
        <v>27</v>
      </c>
      <c r="E48" s="2">
        <v>324</v>
      </c>
      <c r="F48" s="2">
        <v>15</v>
      </c>
    </row>
    <row r="49" spans="1:6">
      <c r="A49" s="1">
        <v>44712</v>
      </c>
      <c r="B49" s="2">
        <v>395</v>
      </c>
      <c r="C49" s="2">
        <v>12</v>
      </c>
      <c r="D49" s="2">
        <v>28</v>
      </c>
      <c r="E49" s="2">
        <v>336</v>
      </c>
      <c r="F49" s="2">
        <v>15</v>
      </c>
    </row>
    <row r="50" spans="1:6">
      <c r="A50" s="1">
        <v>44716</v>
      </c>
      <c r="B50" s="2">
        <v>402</v>
      </c>
      <c r="C50" s="2">
        <v>12</v>
      </c>
      <c r="D50" s="2">
        <v>29</v>
      </c>
      <c r="E50" s="2">
        <v>348</v>
      </c>
      <c r="F50" s="2">
        <v>15</v>
      </c>
    </row>
    <row r="51" spans="1:6">
      <c r="A51" s="1">
        <v>44721</v>
      </c>
      <c r="B51" s="2">
        <v>287</v>
      </c>
      <c r="C51" s="2">
        <v>9</v>
      </c>
      <c r="D51" s="2">
        <v>30</v>
      </c>
      <c r="E51" s="2">
        <v>270</v>
      </c>
      <c r="F51" s="2">
        <v>15</v>
      </c>
    </row>
    <row r="52" spans="1:6">
      <c r="A52" s="1">
        <v>44722</v>
      </c>
      <c r="B52" s="2">
        <v>334.5</v>
      </c>
      <c r="C52" s="2">
        <v>10</v>
      </c>
      <c r="D52" s="2">
        <v>31</v>
      </c>
      <c r="E52" s="2">
        <v>310</v>
      </c>
      <c r="F52" s="2">
        <v>15</v>
      </c>
    </row>
    <row r="53" spans="1:6">
      <c r="A53" s="1">
        <v>44724</v>
      </c>
      <c r="B53" s="2">
        <v>75</v>
      </c>
      <c r="C53" s="2">
        <v>2</v>
      </c>
      <c r="D53" s="2">
        <v>23</v>
      </c>
      <c r="E53" s="2">
        <v>46</v>
      </c>
      <c r="F53" s="2">
        <v>15</v>
      </c>
    </row>
    <row r="54" spans="1:6">
      <c r="A54" s="1">
        <v>44733</v>
      </c>
      <c r="B54" s="2">
        <v>750</v>
      </c>
      <c r="C54" s="2">
        <v>23</v>
      </c>
      <c r="D54" s="2">
        <v>24</v>
      </c>
      <c r="E54" s="2">
        <v>552</v>
      </c>
      <c r="F54" s="2">
        <v>20</v>
      </c>
    </row>
    <row r="55" spans="1:6">
      <c r="A55" s="1">
        <v>44734</v>
      </c>
      <c r="B55" s="2">
        <v>582</v>
      </c>
      <c r="C55" s="2">
        <v>18</v>
      </c>
      <c r="D55" s="2">
        <v>25</v>
      </c>
      <c r="E55" s="2">
        <v>450</v>
      </c>
      <c r="F55" s="2">
        <v>18</v>
      </c>
    </row>
    <row r="56" spans="1:6">
      <c r="A56" s="1">
        <v>44735</v>
      </c>
      <c r="B56" s="2">
        <v>375</v>
      </c>
      <c r="C56" s="2">
        <v>12</v>
      </c>
      <c r="D56" s="2">
        <v>26</v>
      </c>
      <c r="E56" s="2">
        <v>312</v>
      </c>
      <c r="F56" s="2">
        <v>15</v>
      </c>
    </row>
    <row r="57" spans="1:6">
      <c r="A57" s="1">
        <v>44736</v>
      </c>
      <c r="B57" s="2">
        <v>375</v>
      </c>
      <c r="C57" s="2">
        <v>12</v>
      </c>
      <c r="D57" s="2">
        <v>27</v>
      </c>
      <c r="E57" s="2">
        <v>324</v>
      </c>
      <c r="F57" s="2">
        <v>15</v>
      </c>
    </row>
    <row r="58" spans="1:6">
      <c r="A58" s="1">
        <v>44742</v>
      </c>
      <c r="B58" s="2">
        <v>375</v>
      </c>
      <c r="C58" s="2">
        <v>12</v>
      </c>
      <c r="D58" s="2">
        <v>28</v>
      </c>
      <c r="E58" s="2">
        <v>336</v>
      </c>
      <c r="F58" s="2">
        <v>15</v>
      </c>
    </row>
    <row r="59" spans="1:6">
      <c r="A59" s="1">
        <v>44747</v>
      </c>
      <c r="B59" s="2">
        <v>700</v>
      </c>
      <c r="C59" s="2">
        <v>22</v>
      </c>
      <c r="D59" s="2">
        <v>29</v>
      </c>
      <c r="E59" s="2">
        <v>638</v>
      </c>
      <c r="F59" s="2">
        <v>20</v>
      </c>
    </row>
    <row r="60" spans="1:6">
      <c r="A60" s="1">
        <v>44748</v>
      </c>
      <c r="B60" s="2">
        <v>750</v>
      </c>
      <c r="C60" s="2">
        <v>23</v>
      </c>
      <c r="D60" s="2">
        <v>30</v>
      </c>
      <c r="E60" s="2">
        <v>690</v>
      </c>
      <c r="F60" s="2">
        <v>20</v>
      </c>
    </row>
    <row r="61" spans="1:6">
      <c r="A61" s="1">
        <v>44749</v>
      </c>
      <c r="B61" s="2">
        <v>375</v>
      </c>
      <c r="C61" s="2">
        <v>12</v>
      </c>
      <c r="D61" s="2">
        <v>31</v>
      </c>
      <c r="E61" s="2">
        <v>372</v>
      </c>
      <c r="F61" s="2">
        <v>15</v>
      </c>
    </row>
    <row r="62" spans="1:6">
      <c r="A62" s="1">
        <v>44768</v>
      </c>
      <c r="B62" s="2">
        <v>100</v>
      </c>
      <c r="C62" s="2">
        <v>3</v>
      </c>
      <c r="D62" s="2">
        <v>23</v>
      </c>
      <c r="E62" s="2">
        <v>69</v>
      </c>
      <c r="F62" s="2">
        <v>15</v>
      </c>
    </row>
    <row r="63" spans="1:6">
      <c r="A63" s="1">
        <v>44770</v>
      </c>
      <c r="B63" s="2">
        <v>375</v>
      </c>
      <c r="C63" s="2">
        <v>12</v>
      </c>
      <c r="D63" s="2">
        <v>24</v>
      </c>
      <c r="E63" s="2">
        <v>288</v>
      </c>
      <c r="F63" s="2">
        <v>15</v>
      </c>
    </row>
    <row r="64" spans="1:6">
      <c r="A64" s="1">
        <v>44771</v>
      </c>
      <c r="B64" s="2">
        <v>375</v>
      </c>
      <c r="C64" s="2">
        <v>12</v>
      </c>
      <c r="D64" s="2">
        <v>25</v>
      </c>
      <c r="E64" s="2">
        <v>300</v>
      </c>
      <c r="F64" s="2">
        <v>15</v>
      </c>
    </row>
    <row r="65" spans="1:6">
      <c r="A65" s="1">
        <v>44782</v>
      </c>
      <c r="B65" s="2">
        <v>379.5</v>
      </c>
      <c r="C65" s="2">
        <v>12</v>
      </c>
      <c r="D65" s="2">
        <v>26</v>
      </c>
      <c r="E65" s="2">
        <v>312</v>
      </c>
      <c r="F65" s="2">
        <v>15</v>
      </c>
    </row>
    <row r="66" spans="1:6">
      <c r="A66" s="1">
        <v>44783</v>
      </c>
      <c r="B66" s="2">
        <v>375</v>
      </c>
      <c r="C66" s="2">
        <v>12</v>
      </c>
      <c r="D66" s="2">
        <v>27</v>
      </c>
      <c r="E66" s="2">
        <v>324</v>
      </c>
      <c r="F66" s="2">
        <v>15</v>
      </c>
    </row>
    <row r="67" spans="1:6">
      <c r="A67" s="1">
        <v>44784</v>
      </c>
      <c r="B67" s="2">
        <v>225</v>
      </c>
      <c r="C67" s="2">
        <v>7</v>
      </c>
      <c r="D67" s="2">
        <v>28</v>
      </c>
      <c r="E67" s="2">
        <v>196</v>
      </c>
      <c r="F67" s="2">
        <v>15</v>
      </c>
    </row>
    <row r="68" spans="1:6">
      <c r="A68" s="1">
        <v>44788</v>
      </c>
      <c r="B68" s="2">
        <v>385</v>
      </c>
      <c r="C68" s="2">
        <v>12</v>
      </c>
      <c r="D68" s="2">
        <v>29</v>
      </c>
      <c r="E68" s="2">
        <v>348</v>
      </c>
      <c r="F68" s="2">
        <v>15</v>
      </c>
    </row>
    <row r="69" spans="1:6">
      <c r="A69" s="1">
        <v>44789</v>
      </c>
      <c r="B69" s="2">
        <v>375</v>
      </c>
      <c r="C69" s="2">
        <v>12</v>
      </c>
      <c r="D69" s="2">
        <v>30</v>
      </c>
      <c r="E69" s="2">
        <v>360</v>
      </c>
      <c r="F69" s="2">
        <v>15</v>
      </c>
    </row>
    <row r="70" spans="1:6">
      <c r="A70" s="1">
        <v>44797</v>
      </c>
      <c r="B70" s="2">
        <v>375</v>
      </c>
      <c r="C70" s="2">
        <v>12</v>
      </c>
      <c r="D70" s="2">
        <v>31</v>
      </c>
      <c r="E70" s="2">
        <v>372</v>
      </c>
      <c r="F70" s="2">
        <v>15</v>
      </c>
    </row>
    <row r="71" spans="1:6">
      <c r="A71" s="1">
        <v>44805</v>
      </c>
      <c r="B71" s="2">
        <v>357</v>
      </c>
      <c r="C71" s="2">
        <v>11</v>
      </c>
      <c r="D71" s="2">
        <v>23</v>
      </c>
      <c r="E71" s="2">
        <v>253</v>
      </c>
      <c r="F71" s="2">
        <v>15</v>
      </c>
    </row>
    <row r="72" spans="1:6">
      <c r="A72" s="1">
        <v>44808</v>
      </c>
      <c r="B72" s="2">
        <v>154.5</v>
      </c>
      <c r="C72" s="2">
        <v>5</v>
      </c>
      <c r="D72" s="2">
        <v>24</v>
      </c>
      <c r="E72" s="2">
        <v>120</v>
      </c>
      <c r="F72" s="2">
        <v>15</v>
      </c>
    </row>
    <row r="73" spans="1:6">
      <c r="A73" s="1">
        <v>44812</v>
      </c>
      <c r="B73" s="2">
        <v>745</v>
      </c>
      <c r="C73" s="2">
        <v>23</v>
      </c>
      <c r="D73" s="2">
        <v>25</v>
      </c>
      <c r="E73" s="2">
        <v>575</v>
      </c>
      <c r="F73" s="2">
        <v>20</v>
      </c>
    </row>
    <row r="74" spans="1:6">
      <c r="A74" s="1">
        <v>44813</v>
      </c>
      <c r="B74" s="2">
        <v>1125</v>
      </c>
      <c r="C74" s="2">
        <v>35</v>
      </c>
      <c r="D74" s="2">
        <v>26</v>
      </c>
      <c r="E74" s="2">
        <v>910</v>
      </c>
      <c r="F74" s="2">
        <v>20</v>
      </c>
    </row>
    <row r="75" spans="1:6">
      <c r="A75" s="1">
        <v>44817</v>
      </c>
      <c r="B75" s="2">
        <v>80</v>
      </c>
      <c r="C75" s="2">
        <v>2</v>
      </c>
      <c r="D75" s="2">
        <v>27</v>
      </c>
      <c r="E75" s="2">
        <v>54</v>
      </c>
      <c r="F75" s="2">
        <v>15</v>
      </c>
    </row>
    <row r="76" spans="1:6">
      <c r="A76" s="1">
        <v>44820</v>
      </c>
      <c r="B76" s="2">
        <v>350</v>
      </c>
      <c r="C76" s="2">
        <v>11</v>
      </c>
      <c r="D76" s="2">
        <v>28</v>
      </c>
      <c r="E76" s="2">
        <v>308</v>
      </c>
      <c r="F76" s="2">
        <v>15</v>
      </c>
    </row>
    <row r="77" spans="1:6">
      <c r="A77" s="1">
        <v>44827</v>
      </c>
      <c r="B77" s="2">
        <v>77</v>
      </c>
      <c r="C77" s="2">
        <v>2</v>
      </c>
      <c r="D77" s="2">
        <v>29</v>
      </c>
      <c r="E77" s="2">
        <v>58</v>
      </c>
      <c r="F77" s="2">
        <v>15</v>
      </c>
    </row>
    <row r="78" spans="1:6">
      <c r="A78" s="1">
        <v>44833</v>
      </c>
      <c r="B78" s="2">
        <v>75</v>
      </c>
      <c r="C78" s="2">
        <v>2</v>
      </c>
      <c r="D78" s="2">
        <v>30</v>
      </c>
      <c r="E78" s="2">
        <v>60</v>
      </c>
      <c r="F78" s="2">
        <v>15</v>
      </c>
    </row>
    <row r="79" spans="1:6">
      <c r="A79" s="1">
        <v>44835</v>
      </c>
      <c r="B79" s="2">
        <v>162</v>
      </c>
      <c r="C79" s="2">
        <v>5</v>
      </c>
      <c r="D79" s="2">
        <v>31</v>
      </c>
      <c r="E79" s="2">
        <v>155</v>
      </c>
      <c r="F79" s="2">
        <v>15</v>
      </c>
    </row>
    <row r="80" spans="1:6">
      <c r="A80" s="1">
        <v>44836</v>
      </c>
      <c r="B80" s="2">
        <v>245</v>
      </c>
      <c r="C80" s="2">
        <v>8</v>
      </c>
      <c r="D80" s="2">
        <v>23</v>
      </c>
      <c r="E80" s="2">
        <v>184</v>
      </c>
      <c r="F80" s="2">
        <v>15</v>
      </c>
    </row>
    <row r="81" spans="1:6">
      <c r="A81" s="1">
        <v>44837</v>
      </c>
      <c r="B81" s="2">
        <v>302.74</v>
      </c>
      <c r="C81" s="2">
        <v>9</v>
      </c>
      <c r="D81" s="2">
        <v>24</v>
      </c>
      <c r="E81" s="2">
        <v>216</v>
      </c>
      <c r="F81" s="2">
        <v>15</v>
      </c>
    </row>
    <row r="82" spans="1:6">
      <c r="A82" s="1">
        <v>44838</v>
      </c>
      <c r="B82" s="2">
        <v>725</v>
      </c>
      <c r="C82" s="2">
        <v>22</v>
      </c>
      <c r="D82" s="2">
        <v>25</v>
      </c>
      <c r="E82" s="2">
        <v>550</v>
      </c>
      <c r="F82" s="2">
        <v>20</v>
      </c>
    </row>
    <row r="83" spans="1:6">
      <c r="A83" s="1">
        <v>44840</v>
      </c>
      <c r="B83" s="2">
        <v>1182</v>
      </c>
      <c r="C83" s="2">
        <v>36</v>
      </c>
      <c r="D83" s="2">
        <v>26</v>
      </c>
      <c r="E83" s="2">
        <v>936</v>
      </c>
      <c r="F83" s="2">
        <v>20</v>
      </c>
    </row>
    <row r="84" spans="1:6">
      <c r="A84" s="1">
        <v>44845</v>
      </c>
      <c r="B84" s="2">
        <v>620</v>
      </c>
      <c r="C84" s="2">
        <v>19</v>
      </c>
      <c r="D84" s="2">
        <v>27</v>
      </c>
      <c r="E84" s="2">
        <v>513</v>
      </c>
      <c r="F84" s="2">
        <v>19</v>
      </c>
    </row>
    <row r="85" spans="1:6">
      <c r="A85" s="1">
        <v>44849</v>
      </c>
      <c r="B85" s="2">
        <v>80</v>
      </c>
      <c r="C85" s="2">
        <v>2</v>
      </c>
      <c r="D85" s="2">
        <v>28</v>
      </c>
      <c r="E85" s="2">
        <v>56</v>
      </c>
      <c r="F85" s="2">
        <v>15</v>
      </c>
    </row>
    <row r="86" spans="1:6">
      <c r="A86" s="1">
        <v>44851</v>
      </c>
      <c r="B86" s="2">
        <v>375</v>
      </c>
      <c r="C86" s="2">
        <v>12</v>
      </c>
      <c r="D86" s="2">
        <v>29</v>
      </c>
      <c r="E86" s="2">
        <v>348</v>
      </c>
      <c r="F86" s="2">
        <v>15</v>
      </c>
    </row>
    <row r="87" spans="1:6">
      <c r="A87" s="1">
        <v>44853</v>
      </c>
      <c r="B87" s="2">
        <v>410</v>
      </c>
      <c r="C87" s="2">
        <v>13</v>
      </c>
      <c r="D87" s="2">
        <v>30</v>
      </c>
      <c r="E87" s="2">
        <v>390</v>
      </c>
      <c r="F87" s="2">
        <v>15</v>
      </c>
    </row>
    <row r="88" spans="1:6">
      <c r="A88" s="1">
        <v>44854</v>
      </c>
      <c r="B88" s="2">
        <v>265</v>
      </c>
      <c r="C88" s="2">
        <v>8</v>
      </c>
      <c r="D88" s="2">
        <v>31</v>
      </c>
      <c r="E88" s="2">
        <v>248</v>
      </c>
      <c r="F88" s="2">
        <v>15</v>
      </c>
    </row>
    <row r="89" spans="1:6">
      <c r="A89" s="1">
        <v>44861</v>
      </c>
      <c r="B89" s="2">
        <v>350</v>
      </c>
      <c r="C89" s="2">
        <v>11</v>
      </c>
      <c r="D89" s="2">
        <v>23</v>
      </c>
      <c r="E89" s="2">
        <v>253</v>
      </c>
      <c r="F89" s="2">
        <v>15</v>
      </c>
    </row>
    <row r="90" spans="1:6">
      <c r="A90" s="1">
        <v>44865</v>
      </c>
      <c r="B90" s="2">
        <v>80</v>
      </c>
      <c r="C90" s="2">
        <v>2</v>
      </c>
      <c r="D90" s="2">
        <v>24</v>
      </c>
      <c r="E90" s="2">
        <v>48</v>
      </c>
      <c r="F90" s="2">
        <v>15</v>
      </c>
    </row>
    <row r="91" spans="1:6">
      <c r="A91" s="1">
        <v>44866</v>
      </c>
      <c r="B91" s="2">
        <v>620</v>
      </c>
      <c r="C91" s="2">
        <v>19</v>
      </c>
      <c r="D91" s="2">
        <v>25</v>
      </c>
      <c r="E91" s="2">
        <v>475</v>
      </c>
      <c r="F91" s="2">
        <v>19</v>
      </c>
    </row>
    <row r="92" spans="1:6">
      <c r="A92" s="1">
        <v>44868</v>
      </c>
      <c r="B92" s="2">
        <v>375</v>
      </c>
      <c r="C92" s="2">
        <v>12</v>
      </c>
      <c r="D92" s="2">
        <v>26</v>
      </c>
      <c r="E92" s="2">
        <v>312</v>
      </c>
      <c r="F92" s="2">
        <v>15</v>
      </c>
    </row>
    <row r="93" spans="1:6">
      <c r="A93" s="1">
        <v>44870</v>
      </c>
      <c r="B93" s="2">
        <v>375</v>
      </c>
      <c r="C93" s="2">
        <v>12</v>
      </c>
      <c r="D93" s="2">
        <v>27</v>
      </c>
      <c r="E93" s="2">
        <v>324</v>
      </c>
      <c r="F93" s="2">
        <v>15</v>
      </c>
    </row>
    <row r="94" spans="1:6">
      <c r="A94" s="1">
        <v>44872</v>
      </c>
      <c r="B94" s="2">
        <v>454.5</v>
      </c>
      <c r="C94" s="2">
        <v>14</v>
      </c>
      <c r="D94" s="2">
        <v>28</v>
      </c>
      <c r="E94" s="2">
        <v>392</v>
      </c>
      <c r="F94" s="2">
        <v>15</v>
      </c>
    </row>
    <row r="95" spans="1:6">
      <c r="A95" s="1">
        <v>44873</v>
      </c>
      <c r="B95" s="2">
        <v>375</v>
      </c>
      <c r="C95" s="2">
        <v>12</v>
      </c>
      <c r="D95" s="2">
        <v>29</v>
      </c>
      <c r="E95" s="2">
        <v>348</v>
      </c>
      <c r="F95" s="2">
        <v>15</v>
      </c>
    </row>
    <row r="96" spans="1:6">
      <c r="A96" s="1">
        <v>44874</v>
      </c>
      <c r="B96" s="2">
        <v>287</v>
      </c>
      <c r="C96" s="2">
        <v>9</v>
      </c>
      <c r="D96" s="2">
        <v>30</v>
      </c>
      <c r="E96" s="2">
        <v>270</v>
      </c>
      <c r="F96" s="2">
        <v>15</v>
      </c>
    </row>
    <row r="97" spans="1:6">
      <c r="A97" s="1">
        <v>44877</v>
      </c>
      <c r="B97" s="2">
        <v>75</v>
      </c>
      <c r="C97" s="2">
        <v>2</v>
      </c>
      <c r="D97" s="2">
        <v>31</v>
      </c>
      <c r="E97" s="2">
        <v>62</v>
      </c>
      <c r="F97" s="2">
        <v>15</v>
      </c>
    </row>
    <row r="98" spans="1:6">
      <c r="A98" s="1">
        <v>44879</v>
      </c>
      <c r="B98" s="2">
        <v>575</v>
      </c>
      <c r="C98" s="2">
        <v>18</v>
      </c>
      <c r="D98" s="2">
        <v>23</v>
      </c>
      <c r="E98" s="2">
        <v>414</v>
      </c>
      <c r="F98" s="2">
        <v>18</v>
      </c>
    </row>
    <row r="99" spans="1:6">
      <c r="A99" s="1">
        <v>44880</v>
      </c>
      <c r="B99" s="2">
        <v>245</v>
      </c>
      <c r="C99" s="2">
        <v>8</v>
      </c>
      <c r="D99" s="2">
        <v>24</v>
      </c>
      <c r="E99" s="2">
        <v>192</v>
      </c>
      <c r="F99" s="2">
        <v>15</v>
      </c>
    </row>
    <row r="100" spans="1:6">
      <c r="A100" s="1">
        <v>44887</v>
      </c>
      <c r="B100" s="2">
        <v>160</v>
      </c>
      <c r="C100" s="2">
        <v>5</v>
      </c>
      <c r="D100" s="2">
        <v>25</v>
      </c>
      <c r="E100" s="2">
        <v>125</v>
      </c>
      <c r="F100" s="2">
        <v>15</v>
      </c>
    </row>
    <row r="101" spans="1:6">
      <c r="A101" s="1">
        <v>44894</v>
      </c>
      <c r="B101" s="2">
        <v>995</v>
      </c>
      <c r="C101" s="2">
        <v>31</v>
      </c>
      <c r="D101" s="2">
        <v>26</v>
      </c>
      <c r="E101" s="2">
        <v>806</v>
      </c>
      <c r="F101" s="2">
        <v>20</v>
      </c>
    </row>
    <row r="102" spans="1:6">
      <c r="A102" s="1">
        <v>44895</v>
      </c>
      <c r="B102" s="2">
        <v>510.6</v>
      </c>
      <c r="C102" s="2">
        <v>16</v>
      </c>
      <c r="D102" s="2">
        <v>27</v>
      </c>
      <c r="E102" s="2">
        <v>432</v>
      </c>
      <c r="F102" s="2">
        <v>16</v>
      </c>
    </row>
    <row r="103" spans="1:6">
      <c r="A103" s="1">
        <v>44896</v>
      </c>
      <c r="B103" s="2">
        <v>65</v>
      </c>
      <c r="C103" s="2">
        <v>2</v>
      </c>
      <c r="D103" s="2">
        <v>28</v>
      </c>
      <c r="E103" s="2">
        <v>56</v>
      </c>
      <c r="F103" s="2">
        <v>15</v>
      </c>
    </row>
    <row r="104" spans="1:6">
      <c r="A104" s="1">
        <v>44899</v>
      </c>
      <c r="B104" s="2">
        <v>1017</v>
      </c>
      <c r="C104" s="2">
        <v>31</v>
      </c>
      <c r="D104" s="2">
        <v>29</v>
      </c>
      <c r="E104" s="2">
        <v>899</v>
      </c>
      <c r="F104" s="2">
        <v>20</v>
      </c>
    </row>
    <row r="105" spans="1:6">
      <c r="A105" s="1">
        <v>44900</v>
      </c>
      <c r="B105" s="2">
        <v>665</v>
      </c>
      <c r="C105" s="2">
        <v>20</v>
      </c>
      <c r="D105" s="2">
        <v>30</v>
      </c>
      <c r="E105" s="2">
        <v>600</v>
      </c>
      <c r="F105" s="2">
        <v>20</v>
      </c>
    </row>
    <row r="106" spans="1:6">
      <c r="A106" s="1">
        <v>44901</v>
      </c>
      <c r="B106" s="2">
        <v>620</v>
      </c>
      <c r="C106" s="2">
        <v>19</v>
      </c>
      <c r="D106" s="2">
        <v>31</v>
      </c>
      <c r="E106" s="2">
        <v>589</v>
      </c>
      <c r="F106" s="2">
        <v>19</v>
      </c>
    </row>
    <row r="107" spans="1:6">
      <c r="A107" s="1">
        <v>44902</v>
      </c>
      <c r="B107" s="2">
        <v>830</v>
      </c>
      <c r="C107" s="2">
        <v>26</v>
      </c>
      <c r="D107" s="2">
        <v>23</v>
      </c>
      <c r="E107" s="2">
        <v>598</v>
      </c>
      <c r="F107" s="2">
        <v>20</v>
      </c>
    </row>
    <row r="108" spans="1:6">
      <c r="A108" s="1">
        <v>44905</v>
      </c>
      <c r="B108" s="2">
        <v>375</v>
      </c>
      <c r="C108" s="2">
        <v>12</v>
      </c>
      <c r="D108" s="2">
        <v>24</v>
      </c>
      <c r="E108" s="2">
        <v>288</v>
      </c>
      <c r="F108" s="2">
        <v>15</v>
      </c>
    </row>
    <row r="109" spans="1:6">
      <c r="A109" s="1">
        <v>44909</v>
      </c>
      <c r="B109" s="2">
        <v>474.5</v>
      </c>
      <c r="C109" s="2">
        <v>15</v>
      </c>
      <c r="D109" s="2">
        <v>25</v>
      </c>
      <c r="E109" s="2">
        <v>375</v>
      </c>
      <c r="F109" s="2">
        <v>15</v>
      </c>
    </row>
    <row r="110" spans="1:6">
      <c r="A110" s="1">
        <v>44910</v>
      </c>
      <c r="B110" s="2">
        <v>375</v>
      </c>
      <c r="C110" s="2">
        <v>12</v>
      </c>
      <c r="D110" s="2">
        <v>26</v>
      </c>
      <c r="E110" s="2">
        <v>312</v>
      </c>
      <c r="F110" s="2">
        <v>15</v>
      </c>
    </row>
    <row r="111" spans="1:6">
      <c r="A111" s="1">
        <v>44911</v>
      </c>
      <c r="B111" s="2">
        <v>245</v>
      </c>
      <c r="C111" s="2">
        <v>8</v>
      </c>
      <c r="D111" s="2">
        <v>27</v>
      </c>
      <c r="E111" s="2">
        <v>216</v>
      </c>
      <c r="F111" s="2">
        <v>15</v>
      </c>
    </row>
    <row r="112" spans="1:6">
      <c r="A112" s="1">
        <v>44915</v>
      </c>
      <c r="B112" s="2">
        <v>245</v>
      </c>
      <c r="C112" s="2">
        <v>8</v>
      </c>
      <c r="D112" s="2">
        <v>28</v>
      </c>
      <c r="E112" s="2">
        <v>224</v>
      </c>
      <c r="F112" s="2">
        <v>15</v>
      </c>
    </row>
    <row r="113" spans="1:6">
      <c r="A113" s="1">
        <v>44916</v>
      </c>
      <c r="B113" s="2">
        <v>245</v>
      </c>
      <c r="C113" s="2">
        <v>8</v>
      </c>
      <c r="D113" s="2">
        <v>29</v>
      </c>
      <c r="E113" s="2">
        <v>232</v>
      </c>
      <c r="F113" s="2">
        <v>15</v>
      </c>
    </row>
    <row r="115" spans="1:6">
      <c r="A115" s="1" t="s">
        <v>4</v>
      </c>
      <c r="B115" s="2">
        <f>SUM(B2:B113)</f>
        <v>45402.030000000006</v>
      </c>
      <c r="C115" s="2">
        <f>SUM(C2:C113)</f>
        <v>1408</v>
      </c>
      <c r="E115" s="2">
        <f>SUM(E2:E113)</f>
        <v>37957</v>
      </c>
    </row>
  </sheetData>
  <autoFilter ref="A1:F115" xr:uid="{510CE81D-5067-47B2-8835-C87AD739867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BB56-7281-46F3-822F-C803E3972E80}">
  <dimension ref="A1:E537"/>
  <sheetViews>
    <sheetView topLeftCell="A14" workbookViewId="0">
      <selection activeCell="G65" sqref="G65"/>
    </sheetView>
  </sheetViews>
  <sheetFormatPr defaultRowHeight="12.75"/>
  <cols>
    <col min="1" max="1" width="14.42578125" style="61" customWidth="1"/>
    <col min="2" max="2" width="12" customWidth="1"/>
    <col min="3" max="3" width="42.85546875" customWidth="1"/>
    <col min="4" max="4" width="12.140625" customWidth="1"/>
  </cols>
  <sheetData>
    <row r="1" spans="1:5" s="11" customFormat="1" ht="13.5" thickBot="1">
      <c r="A1" s="62" t="s">
        <v>81</v>
      </c>
      <c r="B1" s="63" t="s">
        <v>82</v>
      </c>
      <c r="C1" s="64" t="s">
        <v>83</v>
      </c>
      <c r="D1" s="64" t="s">
        <v>84</v>
      </c>
      <c r="E1" s="64" t="s">
        <v>85</v>
      </c>
    </row>
    <row r="2" spans="1:5" s="11" customFormat="1">
      <c r="A2" s="71"/>
      <c r="B2" s="73"/>
      <c r="C2" s="79" t="s">
        <v>86</v>
      </c>
      <c r="D2" s="76">
        <v>72</v>
      </c>
      <c r="E2" s="70">
        <v>1</v>
      </c>
    </row>
    <row r="3" spans="1:5" s="11" customFormat="1">
      <c r="A3" s="71"/>
      <c r="B3" s="41"/>
      <c r="C3" s="69" t="s">
        <v>87</v>
      </c>
      <c r="D3" s="77">
        <v>40</v>
      </c>
      <c r="E3" s="70">
        <v>1</v>
      </c>
    </row>
    <row r="4" spans="1:5" s="11" customFormat="1">
      <c r="A4" s="71"/>
      <c r="B4" s="41"/>
      <c r="C4" s="69" t="s">
        <v>88</v>
      </c>
      <c r="D4" s="77">
        <v>48</v>
      </c>
      <c r="E4" s="70">
        <v>1</v>
      </c>
    </row>
    <row r="5" spans="1:5" s="11" customFormat="1">
      <c r="A5" s="71"/>
      <c r="B5" s="41"/>
      <c r="C5" s="69" t="s">
        <v>89</v>
      </c>
      <c r="D5" s="77">
        <v>120</v>
      </c>
      <c r="E5" s="70">
        <v>1</v>
      </c>
    </row>
    <row r="6" spans="1:5" ht="15">
      <c r="A6" s="72">
        <v>44573</v>
      </c>
      <c r="B6" s="74">
        <v>2.65</v>
      </c>
      <c r="C6" s="80" t="s">
        <v>72</v>
      </c>
      <c r="D6" s="28">
        <f>B6*E6</f>
        <v>1.325</v>
      </c>
      <c r="E6" s="70">
        <v>0.5</v>
      </c>
    </row>
    <row r="7" spans="1:5" ht="15">
      <c r="A7" s="72">
        <v>44579</v>
      </c>
      <c r="B7" s="74">
        <v>30.13</v>
      </c>
      <c r="C7" s="80" t="s">
        <v>68</v>
      </c>
      <c r="D7" s="28">
        <f t="shared" ref="D7:D67" si="0">B7*E7</f>
        <v>30.13</v>
      </c>
      <c r="E7" s="70">
        <v>1</v>
      </c>
    </row>
    <row r="8" spans="1:5" ht="15">
      <c r="A8" s="72">
        <v>44593</v>
      </c>
      <c r="B8" s="74">
        <v>21.14</v>
      </c>
      <c r="C8" s="80" t="s">
        <v>68</v>
      </c>
      <c r="D8" s="28">
        <f t="shared" si="0"/>
        <v>21.14</v>
      </c>
      <c r="E8" s="70">
        <v>1</v>
      </c>
    </row>
    <row r="9" spans="1:5" ht="15">
      <c r="A9" s="72">
        <v>44602</v>
      </c>
      <c r="B9" s="74">
        <v>3.05</v>
      </c>
      <c r="C9" s="80" t="s">
        <v>72</v>
      </c>
      <c r="D9" s="28">
        <f t="shared" si="0"/>
        <v>1.5249999999999999</v>
      </c>
      <c r="E9" s="70">
        <v>0.5</v>
      </c>
    </row>
    <row r="10" spans="1:5" ht="15">
      <c r="A10" s="72">
        <v>44606</v>
      </c>
      <c r="B10" s="74">
        <v>2.2000000000000002</v>
      </c>
      <c r="C10" s="80" t="s">
        <v>71</v>
      </c>
      <c r="D10" s="28">
        <f t="shared" si="0"/>
        <v>2.2000000000000002</v>
      </c>
      <c r="E10" s="70">
        <v>1</v>
      </c>
    </row>
    <row r="11" spans="1:5" ht="15">
      <c r="A11" s="72">
        <v>44623</v>
      </c>
      <c r="B11" s="74">
        <v>21.14</v>
      </c>
      <c r="C11" s="80" t="s">
        <v>68</v>
      </c>
      <c r="D11" s="28">
        <f t="shared" si="0"/>
        <v>10.57</v>
      </c>
      <c r="E11" s="70">
        <v>0.5</v>
      </c>
    </row>
    <row r="12" spans="1:5" ht="15">
      <c r="A12" s="72">
        <v>44630</v>
      </c>
      <c r="B12" s="74">
        <v>3.05</v>
      </c>
      <c r="C12" s="80" t="s">
        <v>72</v>
      </c>
      <c r="D12" s="28">
        <f t="shared" si="0"/>
        <v>1.5249999999999999</v>
      </c>
      <c r="E12" s="70">
        <v>0.5</v>
      </c>
    </row>
    <row r="13" spans="1:5" ht="15">
      <c r="A13" s="72">
        <v>44630</v>
      </c>
      <c r="B13" s="74">
        <v>393.25</v>
      </c>
      <c r="C13" s="80" t="s">
        <v>67</v>
      </c>
      <c r="D13" s="28">
        <f t="shared" si="0"/>
        <v>393.25</v>
      </c>
      <c r="E13" s="70">
        <v>1</v>
      </c>
    </row>
    <row r="14" spans="1:5" ht="15">
      <c r="A14" s="72">
        <v>44630</v>
      </c>
      <c r="B14" s="74">
        <v>3.2</v>
      </c>
      <c r="C14" s="80" t="s">
        <v>71</v>
      </c>
      <c r="D14" s="28">
        <f t="shared" si="0"/>
        <v>3.2</v>
      </c>
      <c r="E14" s="70">
        <v>1</v>
      </c>
    </row>
    <row r="15" spans="1:5" ht="15">
      <c r="A15" s="72">
        <v>44636</v>
      </c>
      <c r="B15" s="74">
        <v>3.2</v>
      </c>
      <c r="C15" s="80" t="s">
        <v>71</v>
      </c>
      <c r="D15" s="28">
        <f t="shared" si="0"/>
        <v>3.2</v>
      </c>
      <c r="E15" s="70">
        <v>1</v>
      </c>
    </row>
    <row r="16" spans="1:5" ht="15">
      <c r="A16" s="72">
        <v>44651</v>
      </c>
      <c r="B16" s="74">
        <v>2.95</v>
      </c>
      <c r="C16" s="80" t="s">
        <v>71</v>
      </c>
      <c r="D16" s="28">
        <f t="shared" si="0"/>
        <v>2.95</v>
      </c>
      <c r="E16" s="70">
        <v>1</v>
      </c>
    </row>
    <row r="17" spans="1:5" ht="15">
      <c r="A17" s="72">
        <v>44651</v>
      </c>
      <c r="B17" s="74">
        <v>2.2000000000000002</v>
      </c>
      <c r="C17" s="80" t="s">
        <v>71</v>
      </c>
      <c r="D17" s="28">
        <f t="shared" si="0"/>
        <v>2.2000000000000002</v>
      </c>
      <c r="E17" s="70">
        <v>1</v>
      </c>
    </row>
    <row r="18" spans="1:5" ht="15">
      <c r="A18" s="72">
        <v>44653</v>
      </c>
      <c r="B18" s="74">
        <v>26.32</v>
      </c>
      <c r="C18" s="80" t="s">
        <v>68</v>
      </c>
      <c r="D18" s="28">
        <f t="shared" si="0"/>
        <v>13.16</v>
      </c>
      <c r="E18" s="70">
        <v>0.5</v>
      </c>
    </row>
    <row r="19" spans="1:5" ht="15">
      <c r="A19" s="72">
        <v>44659</v>
      </c>
      <c r="B19" s="74">
        <v>2.95</v>
      </c>
      <c r="C19" s="80" t="s">
        <v>71</v>
      </c>
      <c r="D19" s="28">
        <f t="shared" si="0"/>
        <v>2.95</v>
      </c>
      <c r="E19" s="70">
        <v>1</v>
      </c>
    </row>
    <row r="20" spans="1:5" ht="15">
      <c r="A20" s="72">
        <v>44661</v>
      </c>
      <c r="B20" s="74">
        <v>3.05</v>
      </c>
      <c r="C20" s="80" t="s">
        <v>72</v>
      </c>
      <c r="D20" s="28">
        <f t="shared" si="0"/>
        <v>1.5249999999999999</v>
      </c>
      <c r="E20" s="70">
        <v>0.5</v>
      </c>
    </row>
    <row r="21" spans="1:5" ht="15">
      <c r="A21" s="72">
        <v>44670</v>
      </c>
      <c r="B21" s="74">
        <v>2.6</v>
      </c>
      <c r="C21" s="80" t="s">
        <v>80</v>
      </c>
      <c r="D21" s="28">
        <f t="shared" si="0"/>
        <v>2.6</v>
      </c>
      <c r="E21" s="70">
        <v>1</v>
      </c>
    </row>
    <row r="22" spans="1:5" ht="15">
      <c r="A22" s="72">
        <v>44674</v>
      </c>
      <c r="B22" s="74">
        <v>197.5</v>
      </c>
      <c r="C22" s="80" t="s">
        <v>79</v>
      </c>
      <c r="D22" s="28">
        <f t="shared" si="0"/>
        <v>197.5</v>
      </c>
      <c r="E22" s="70">
        <v>1</v>
      </c>
    </row>
    <row r="23" spans="1:5" ht="15">
      <c r="A23" s="72">
        <v>44679</v>
      </c>
      <c r="B23" s="74">
        <v>393.25</v>
      </c>
      <c r="C23" s="80" t="s">
        <v>67</v>
      </c>
      <c r="D23" s="28">
        <f t="shared" si="0"/>
        <v>393.25</v>
      </c>
      <c r="E23" s="70">
        <v>1</v>
      </c>
    </row>
    <row r="24" spans="1:5" ht="15">
      <c r="A24" s="72">
        <v>44679</v>
      </c>
      <c r="B24" s="74">
        <v>393.25</v>
      </c>
      <c r="C24" s="80" t="s">
        <v>67</v>
      </c>
      <c r="D24" s="28">
        <f t="shared" si="0"/>
        <v>393.25</v>
      </c>
      <c r="E24" s="70">
        <v>1</v>
      </c>
    </row>
    <row r="25" spans="1:5" ht="15">
      <c r="A25" s="72">
        <v>44684</v>
      </c>
      <c r="B25" s="74">
        <v>21.14</v>
      </c>
      <c r="C25" s="80" t="s">
        <v>68</v>
      </c>
      <c r="D25" s="28">
        <f t="shared" si="0"/>
        <v>10.57</v>
      </c>
      <c r="E25" s="70">
        <v>0.5</v>
      </c>
    </row>
    <row r="26" spans="1:5" ht="15">
      <c r="A26" s="72">
        <v>44693</v>
      </c>
      <c r="B26" s="74">
        <v>3.05</v>
      </c>
      <c r="C26" s="80" t="s">
        <v>72</v>
      </c>
      <c r="D26" s="28">
        <f t="shared" si="0"/>
        <v>1.5249999999999999</v>
      </c>
      <c r="E26" s="70">
        <v>0.5</v>
      </c>
    </row>
    <row r="27" spans="1:5" ht="15">
      <c r="A27" s="72">
        <v>44708</v>
      </c>
      <c r="B27" s="74">
        <v>21.14</v>
      </c>
      <c r="C27" s="80" t="s">
        <v>68</v>
      </c>
      <c r="D27" s="28">
        <f t="shared" si="0"/>
        <v>10.57</v>
      </c>
      <c r="E27" s="70">
        <v>0.5</v>
      </c>
    </row>
    <row r="28" spans="1:5" ht="15">
      <c r="A28" s="72">
        <v>44713</v>
      </c>
      <c r="B28" s="74">
        <v>3.2</v>
      </c>
      <c r="C28" s="80" t="s">
        <v>71</v>
      </c>
      <c r="D28" s="28">
        <f t="shared" si="0"/>
        <v>3.2</v>
      </c>
      <c r="E28" s="70">
        <v>1</v>
      </c>
    </row>
    <row r="29" spans="1:5" ht="15">
      <c r="A29" s="72">
        <v>44713</v>
      </c>
      <c r="B29" s="74">
        <v>3.2</v>
      </c>
      <c r="C29" s="80" t="s">
        <v>71</v>
      </c>
      <c r="D29" s="28">
        <f t="shared" si="0"/>
        <v>3.2</v>
      </c>
      <c r="E29" s="70">
        <v>1</v>
      </c>
    </row>
    <row r="30" spans="1:5" ht="15">
      <c r="A30" s="72">
        <v>44721</v>
      </c>
      <c r="B30" s="74">
        <v>200</v>
      </c>
      <c r="C30" s="80" t="s">
        <v>78</v>
      </c>
      <c r="D30" s="28">
        <f t="shared" si="0"/>
        <v>200</v>
      </c>
      <c r="E30" s="70">
        <v>1</v>
      </c>
    </row>
    <row r="31" spans="1:5" ht="15">
      <c r="A31" s="72">
        <v>44722</v>
      </c>
      <c r="B31" s="74">
        <v>3.05</v>
      </c>
      <c r="C31" s="80" t="s">
        <v>72</v>
      </c>
      <c r="D31" s="28">
        <f t="shared" si="0"/>
        <v>1.5249999999999999</v>
      </c>
      <c r="E31" s="70">
        <v>0.5</v>
      </c>
    </row>
    <row r="32" spans="1:5" ht="15">
      <c r="A32" s="72">
        <v>44722</v>
      </c>
      <c r="B32" s="74">
        <v>6.45</v>
      </c>
      <c r="C32" s="80" t="s">
        <v>71</v>
      </c>
      <c r="D32" s="28">
        <f t="shared" si="0"/>
        <v>6.45</v>
      </c>
      <c r="E32" s="70">
        <v>1</v>
      </c>
    </row>
    <row r="33" spans="1:5" ht="15">
      <c r="A33" s="72">
        <v>44726</v>
      </c>
      <c r="B33" s="74">
        <v>2</v>
      </c>
      <c r="C33" s="80" t="s">
        <v>71</v>
      </c>
      <c r="D33" s="28">
        <f t="shared" si="0"/>
        <v>2</v>
      </c>
      <c r="E33" s="70">
        <v>1</v>
      </c>
    </row>
    <row r="34" spans="1:5" ht="15">
      <c r="A34" s="72">
        <v>44742</v>
      </c>
      <c r="B34" s="74">
        <v>21.14</v>
      </c>
      <c r="C34" s="80" t="s">
        <v>68</v>
      </c>
      <c r="D34" s="28">
        <f t="shared" si="0"/>
        <v>10.57</v>
      </c>
      <c r="E34" s="70">
        <v>0.5</v>
      </c>
    </row>
    <row r="35" spans="1:5" ht="15">
      <c r="A35" s="72">
        <v>44752</v>
      </c>
      <c r="B35" s="74">
        <v>3.05</v>
      </c>
      <c r="C35" s="80" t="s">
        <v>72</v>
      </c>
      <c r="D35" s="28">
        <f t="shared" si="0"/>
        <v>1.5249999999999999</v>
      </c>
      <c r="E35" s="70">
        <v>0.5</v>
      </c>
    </row>
    <row r="36" spans="1:5" ht="15">
      <c r="A36" s="72">
        <v>44771</v>
      </c>
      <c r="B36" s="74">
        <v>21.14</v>
      </c>
      <c r="C36" s="80" t="s">
        <v>68</v>
      </c>
      <c r="D36" s="28">
        <f t="shared" si="0"/>
        <v>10.57</v>
      </c>
      <c r="E36" s="70">
        <v>0.5</v>
      </c>
    </row>
    <row r="37" spans="1:5" ht="15">
      <c r="A37" s="72">
        <v>44779</v>
      </c>
      <c r="B37" s="74">
        <v>5</v>
      </c>
      <c r="C37" s="80" t="s">
        <v>77</v>
      </c>
      <c r="D37" s="28">
        <f t="shared" si="0"/>
        <v>5</v>
      </c>
      <c r="E37" s="70">
        <v>1</v>
      </c>
    </row>
    <row r="38" spans="1:5" ht="15">
      <c r="A38" s="72">
        <v>44783</v>
      </c>
      <c r="B38" s="74">
        <v>3.05</v>
      </c>
      <c r="C38" s="80" t="s">
        <v>72</v>
      </c>
      <c r="D38" s="28">
        <f t="shared" si="0"/>
        <v>1.5249999999999999</v>
      </c>
      <c r="E38" s="70">
        <v>0.5</v>
      </c>
    </row>
    <row r="39" spans="1:5" ht="15">
      <c r="A39" s="72">
        <v>44805</v>
      </c>
      <c r="B39" s="74">
        <v>3.2</v>
      </c>
      <c r="C39" s="80" t="s">
        <v>71</v>
      </c>
      <c r="D39" s="28">
        <f t="shared" si="0"/>
        <v>3.2</v>
      </c>
      <c r="E39" s="70">
        <v>1</v>
      </c>
    </row>
    <row r="40" spans="1:5" ht="15">
      <c r="A40" s="72">
        <v>44806</v>
      </c>
      <c r="B40" s="74">
        <v>21.14</v>
      </c>
      <c r="C40" s="80" t="s">
        <v>68</v>
      </c>
      <c r="D40" s="28">
        <f t="shared" si="0"/>
        <v>10.57</v>
      </c>
      <c r="E40" s="70">
        <v>0.5</v>
      </c>
    </row>
    <row r="41" spans="1:5" ht="15">
      <c r="A41" s="72">
        <v>44814</v>
      </c>
      <c r="B41" s="74">
        <v>3.05</v>
      </c>
      <c r="C41" s="80" t="s">
        <v>72</v>
      </c>
      <c r="D41" s="28">
        <f t="shared" si="0"/>
        <v>1.5249999999999999</v>
      </c>
      <c r="E41" s="70">
        <v>0.5</v>
      </c>
    </row>
    <row r="42" spans="1:5" ht="15">
      <c r="A42" s="72">
        <v>44817</v>
      </c>
      <c r="B42" s="74">
        <v>209</v>
      </c>
      <c r="C42" s="80" t="s">
        <v>76</v>
      </c>
      <c r="D42" s="28">
        <f t="shared" si="0"/>
        <v>209</v>
      </c>
      <c r="E42" s="70">
        <v>1</v>
      </c>
    </row>
    <row r="43" spans="1:5" ht="15">
      <c r="A43" s="72">
        <v>44828</v>
      </c>
      <c r="B43" s="74">
        <v>5.3</v>
      </c>
      <c r="C43" s="80" t="s">
        <v>75</v>
      </c>
      <c r="D43" s="28">
        <f t="shared" si="0"/>
        <v>5.3</v>
      </c>
      <c r="E43" s="70">
        <v>1</v>
      </c>
    </row>
    <row r="44" spans="1:5" ht="15">
      <c r="A44" s="72">
        <v>44829</v>
      </c>
      <c r="B44" s="74">
        <v>5.3</v>
      </c>
      <c r="C44" s="80" t="s">
        <v>75</v>
      </c>
      <c r="D44" s="28">
        <f t="shared" si="0"/>
        <v>5.3</v>
      </c>
      <c r="E44" s="70">
        <v>1</v>
      </c>
    </row>
    <row r="45" spans="1:5" ht="15">
      <c r="A45" s="72">
        <v>44830</v>
      </c>
      <c r="B45" s="74">
        <v>2</v>
      </c>
      <c r="C45" s="80" t="s">
        <v>71</v>
      </c>
      <c r="D45" s="28">
        <f t="shared" si="0"/>
        <v>2</v>
      </c>
      <c r="E45" s="70">
        <v>1</v>
      </c>
    </row>
    <row r="46" spans="1:5" ht="15">
      <c r="A46" s="72">
        <v>44834</v>
      </c>
      <c r="B46" s="74">
        <v>21.14</v>
      </c>
      <c r="C46" s="80" t="s">
        <v>68</v>
      </c>
      <c r="D46" s="28">
        <f t="shared" si="0"/>
        <v>10.57</v>
      </c>
      <c r="E46" s="70">
        <v>0.5</v>
      </c>
    </row>
    <row r="47" spans="1:5" ht="15">
      <c r="A47" s="72">
        <v>44836</v>
      </c>
      <c r="B47" s="74">
        <v>2</v>
      </c>
      <c r="C47" s="80" t="s">
        <v>71</v>
      </c>
      <c r="D47" s="28">
        <f t="shared" si="0"/>
        <v>2</v>
      </c>
      <c r="E47" s="70">
        <v>1</v>
      </c>
    </row>
    <row r="48" spans="1:5" ht="15">
      <c r="A48" s="72">
        <v>44844</v>
      </c>
      <c r="B48" s="74">
        <v>3.05</v>
      </c>
      <c r="C48" s="80" t="s">
        <v>72</v>
      </c>
      <c r="D48" s="28">
        <f t="shared" si="0"/>
        <v>1.5249999999999999</v>
      </c>
      <c r="E48" s="70">
        <v>0.5</v>
      </c>
    </row>
    <row r="49" spans="1:5" ht="15">
      <c r="A49" s="72">
        <v>44845</v>
      </c>
      <c r="B49" s="74">
        <v>4</v>
      </c>
      <c r="C49" s="80" t="s">
        <v>71</v>
      </c>
      <c r="D49" s="28">
        <f t="shared" si="0"/>
        <v>4</v>
      </c>
      <c r="E49" s="70">
        <v>1</v>
      </c>
    </row>
    <row r="50" spans="1:5" ht="15">
      <c r="A50" s="72">
        <v>44859</v>
      </c>
      <c r="B50" s="74">
        <v>605</v>
      </c>
      <c r="C50" s="80" t="s">
        <v>67</v>
      </c>
      <c r="D50" s="28">
        <f t="shared" si="0"/>
        <v>605</v>
      </c>
      <c r="E50" s="70">
        <v>1</v>
      </c>
    </row>
    <row r="51" spans="1:5" ht="15">
      <c r="A51" s="72">
        <v>44862</v>
      </c>
      <c r="B51" s="74">
        <v>5</v>
      </c>
      <c r="C51" s="80" t="s">
        <v>71</v>
      </c>
      <c r="D51" s="28">
        <f t="shared" si="0"/>
        <v>5</v>
      </c>
      <c r="E51" s="70">
        <v>1</v>
      </c>
    </row>
    <row r="52" spans="1:5" ht="15">
      <c r="A52" s="72">
        <v>44863</v>
      </c>
      <c r="B52" s="74">
        <v>5</v>
      </c>
      <c r="C52" s="80" t="s">
        <v>71</v>
      </c>
      <c r="D52" s="28">
        <f t="shared" si="0"/>
        <v>5</v>
      </c>
      <c r="E52" s="70">
        <v>1</v>
      </c>
    </row>
    <row r="53" spans="1:5" ht="15">
      <c r="A53" s="72">
        <v>44869</v>
      </c>
      <c r="B53" s="74">
        <v>38.36</v>
      </c>
      <c r="C53" s="80" t="s">
        <v>68</v>
      </c>
      <c r="D53" s="28">
        <f t="shared" si="0"/>
        <v>19.18</v>
      </c>
      <c r="E53" s="70">
        <v>0.5</v>
      </c>
    </row>
    <row r="54" spans="1:5" ht="15">
      <c r="A54" s="72">
        <v>44872</v>
      </c>
      <c r="B54" s="74">
        <v>9.9499999999999993</v>
      </c>
      <c r="C54" s="80" t="s">
        <v>74</v>
      </c>
      <c r="D54" s="28">
        <f t="shared" si="0"/>
        <v>9.9499999999999993</v>
      </c>
      <c r="E54" s="70">
        <v>1</v>
      </c>
    </row>
    <row r="55" spans="1:5" ht="15">
      <c r="A55" s="72">
        <v>44875</v>
      </c>
      <c r="B55" s="74">
        <v>3.05</v>
      </c>
      <c r="C55" s="80" t="s">
        <v>72</v>
      </c>
      <c r="D55" s="28">
        <f t="shared" si="0"/>
        <v>1.5249999999999999</v>
      </c>
      <c r="E55" s="70">
        <v>0.5</v>
      </c>
    </row>
    <row r="56" spans="1:5" ht="15">
      <c r="A56" s="72">
        <v>44877</v>
      </c>
      <c r="B56" s="74">
        <v>2</v>
      </c>
      <c r="C56" s="80" t="s">
        <v>71</v>
      </c>
      <c r="D56" s="28">
        <f t="shared" si="0"/>
        <v>2</v>
      </c>
      <c r="E56" s="70">
        <v>1</v>
      </c>
    </row>
    <row r="57" spans="1:5" ht="15">
      <c r="A57" s="72">
        <v>44880</v>
      </c>
      <c r="B57" s="74">
        <v>122.5</v>
      </c>
      <c r="C57" s="80" t="s">
        <v>73</v>
      </c>
      <c r="D57" s="28">
        <f t="shared" si="0"/>
        <v>122.5</v>
      </c>
      <c r="E57" s="70">
        <v>1</v>
      </c>
    </row>
    <row r="58" spans="1:5" ht="15">
      <c r="A58" s="72">
        <v>44880</v>
      </c>
      <c r="B58" s="74">
        <v>122.5</v>
      </c>
      <c r="C58" s="80" t="s">
        <v>73</v>
      </c>
      <c r="D58" s="28">
        <f t="shared" si="0"/>
        <v>122.5</v>
      </c>
      <c r="E58" s="70">
        <v>1</v>
      </c>
    </row>
    <row r="59" spans="1:5" ht="15">
      <c r="A59" s="72">
        <v>44880</v>
      </c>
      <c r="B59" s="74">
        <v>122.5</v>
      </c>
      <c r="C59" s="80" t="s">
        <v>73</v>
      </c>
      <c r="D59" s="28">
        <f t="shared" si="0"/>
        <v>122.5</v>
      </c>
      <c r="E59" s="70">
        <v>1</v>
      </c>
    </row>
    <row r="60" spans="1:5" ht="15">
      <c r="A60" s="72">
        <v>44895</v>
      </c>
      <c r="B60" s="74">
        <v>22.37</v>
      </c>
      <c r="C60" s="80" t="s">
        <v>68</v>
      </c>
      <c r="D60" s="28">
        <f t="shared" si="0"/>
        <v>11.185</v>
      </c>
      <c r="E60" s="70">
        <v>0.5</v>
      </c>
    </row>
    <row r="61" spans="1:5" ht="15">
      <c r="A61" s="72">
        <v>44895</v>
      </c>
      <c r="B61" s="74">
        <v>605</v>
      </c>
      <c r="C61" s="80" t="s">
        <v>67</v>
      </c>
      <c r="D61" s="28">
        <f t="shared" si="0"/>
        <v>605</v>
      </c>
      <c r="E61" s="70">
        <v>1</v>
      </c>
    </row>
    <row r="62" spans="1:5" ht="15">
      <c r="A62" s="72">
        <v>44904</v>
      </c>
      <c r="B62" s="74">
        <v>2</v>
      </c>
      <c r="C62" s="80" t="s">
        <v>71</v>
      </c>
      <c r="D62" s="28">
        <f t="shared" si="0"/>
        <v>2</v>
      </c>
      <c r="E62" s="70">
        <v>1</v>
      </c>
    </row>
    <row r="63" spans="1:5" ht="15">
      <c r="A63" s="72">
        <v>44907</v>
      </c>
      <c r="B63" s="74">
        <v>3.05</v>
      </c>
      <c r="C63" s="80" t="s">
        <v>72</v>
      </c>
      <c r="D63" s="28">
        <f t="shared" si="0"/>
        <v>1.5249999999999999</v>
      </c>
      <c r="E63" s="70">
        <v>0.5</v>
      </c>
    </row>
    <row r="64" spans="1:5" ht="15">
      <c r="A64" s="72">
        <v>44918</v>
      </c>
      <c r="B64" s="74">
        <v>2</v>
      </c>
      <c r="C64" s="80" t="s">
        <v>71</v>
      </c>
      <c r="D64" s="28">
        <f t="shared" si="0"/>
        <v>2</v>
      </c>
      <c r="E64" s="70">
        <v>1</v>
      </c>
    </row>
    <row r="65" spans="1:5" ht="15">
      <c r="A65" s="72">
        <v>44919</v>
      </c>
      <c r="B65" s="74">
        <v>84.95</v>
      </c>
      <c r="C65" s="80" t="s">
        <v>70</v>
      </c>
      <c r="D65" s="28">
        <f t="shared" si="0"/>
        <v>84.95</v>
      </c>
      <c r="E65" s="70">
        <v>1</v>
      </c>
    </row>
    <row r="66" spans="1:5" ht="15">
      <c r="A66" s="72">
        <v>44919</v>
      </c>
      <c r="B66" s="74">
        <v>5.7</v>
      </c>
      <c r="C66" s="80" t="s">
        <v>69</v>
      </c>
      <c r="D66" s="28">
        <f t="shared" si="0"/>
        <v>5.7</v>
      </c>
      <c r="E66" s="70">
        <v>1</v>
      </c>
    </row>
    <row r="67" spans="1:5" ht="15.75" thickBot="1">
      <c r="A67" s="72">
        <v>44926</v>
      </c>
      <c r="B67" s="75">
        <v>22.6</v>
      </c>
      <c r="C67" s="81" t="s">
        <v>68</v>
      </c>
      <c r="D67" s="78">
        <f t="shared" si="0"/>
        <v>11.3</v>
      </c>
      <c r="E67" s="70">
        <v>0.5</v>
      </c>
    </row>
    <row r="68" spans="1:5" ht="15.75" thickBot="1">
      <c r="A68" s="65"/>
      <c r="B68" s="66"/>
      <c r="C68" s="67" t="s">
        <v>4</v>
      </c>
      <c r="D68" s="66">
        <f>SUM(D2:D67)</f>
        <v>4019.4850000000006</v>
      </c>
      <c r="E68" s="68"/>
    </row>
    <row r="69" spans="1:5" ht="15">
      <c r="A69" s="57"/>
      <c r="B69" s="55"/>
      <c r="C69" s="56"/>
    </row>
    <row r="70" spans="1:5" ht="15">
      <c r="A70" s="57"/>
      <c r="B70" s="55"/>
      <c r="C70" s="56"/>
    </row>
    <row r="71" spans="1:5" ht="15">
      <c r="A71" s="57"/>
      <c r="B71" s="55"/>
      <c r="C71" s="56"/>
    </row>
    <row r="72" spans="1:5" ht="15">
      <c r="A72" s="58"/>
      <c r="B72" s="55"/>
      <c r="C72" s="56"/>
    </row>
    <row r="73" spans="1:5" ht="15">
      <c r="A73" s="58"/>
      <c r="B73" s="55"/>
      <c r="C73" s="56"/>
    </row>
    <row r="74" spans="1:5" ht="15">
      <c r="A74" s="58"/>
      <c r="B74" s="55"/>
      <c r="C74" s="56"/>
    </row>
    <row r="75" spans="1:5" ht="15">
      <c r="A75" s="58"/>
      <c r="B75" s="55"/>
      <c r="C75" s="56"/>
    </row>
    <row r="76" spans="1:5" ht="15">
      <c r="A76" s="58"/>
      <c r="B76" s="55"/>
      <c r="C76" s="56"/>
    </row>
    <row r="77" spans="1:5" ht="15">
      <c r="A77" s="58"/>
      <c r="B77" s="55"/>
      <c r="C77" s="56"/>
    </row>
    <row r="78" spans="1:5" ht="15">
      <c r="A78" s="58"/>
      <c r="B78" s="55"/>
      <c r="C78" s="56"/>
    </row>
    <row r="79" spans="1:5" ht="15">
      <c r="A79" s="58"/>
      <c r="B79" s="55"/>
      <c r="C79" s="56"/>
    </row>
    <row r="80" spans="1:5" ht="15">
      <c r="A80" s="58"/>
      <c r="B80" s="55"/>
      <c r="C80" s="56"/>
    </row>
    <row r="81" spans="1:3" ht="15">
      <c r="A81" s="58"/>
      <c r="B81" s="55"/>
      <c r="C81" s="56"/>
    </row>
    <row r="82" spans="1:3" ht="15">
      <c r="A82" s="58"/>
      <c r="B82" s="55"/>
      <c r="C82" s="56"/>
    </row>
    <row r="83" spans="1:3" ht="15">
      <c r="A83" s="58"/>
      <c r="B83" s="55"/>
      <c r="C83" s="56"/>
    </row>
    <row r="84" spans="1:3" ht="15">
      <c r="A84" s="58"/>
      <c r="B84" s="55"/>
      <c r="C84" s="56"/>
    </row>
    <row r="85" spans="1:3" ht="15">
      <c r="A85" s="58"/>
      <c r="B85" s="55"/>
      <c r="C85" s="56"/>
    </row>
    <row r="86" spans="1:3" ht="15">
      <c r="A86" s="58"/>
      <c r="B86" s="55"/>
      <c r="C86" s="56"/>
    </row>
    <row r="87" spans="1:3" ht="15">
      <c r="A87" s="58"/>
      <c r="B87" s="55"/>
      <c r="C87" s="56"/>
    </row>
    <row r="88" spans="1:3" ht="15">
      <c r="A88" s="58"/>
      <c r="B88" s="55"/>
      <c r="C88" s="56"/>
    </row>
    <row r="89" spans="1:3" ht="15">
      <c r="A89" s="58"/>
      <c r="B89" s="55"/>
      <c r="C89" s="56"/>
    </row>
    <row r="90" spans="1:3" ht="15">
      <c r="A90" s="58"/>
      <c r="B90" s="55"/>
      <c r="C90" s="56"/>
    </row>
    <row r="91" spans="1:3" ht="15">
      <c r="A91" s="58"/>
      <c r="B91" s="55"/>
      <c r="C91" s="56"/>
    </row>
    <row r="92" spans="1:3" ht="15">
      <c r="A92" s="58"/>
      <c r="B92" s="55"/>
      <c r="C92" s="56"/>
    </row>
    <row r="93" spans="1:3" ht="15">
      <c r="A93" s="58"/>
      <c r="B93" s="55"/>
      <c r="C93" s="56"/>
    </row>
    <row r="94" spans="1:3" ht="15">
      <c r="A94" s="58"/>
      <c r="B94" s="55"/>
      <c r="C94" s="56"/>
    </row>
    <row r="95" spans="1:3" ht="15">
      <c r="A95" s="58"/>
      <c r="B95" s="55"/>
      <c r="C95" s="56"/>
    </row>
    <row r="96" spans="1:3" ht="15">
      <c r="A96" s="58"/>
      <c r="B96" s="55"/>
      <c r="C96" s="56"/>
    </row>
    <row r="97" spans="1:3" ht="15">
      <c r="A97" s="58"/>
      <c r="B97" s="55"/>
      <c r="C97" s="56"/>
    </row>
    <row r="98" spans="1:3" ht="15">
      <c r="A98" s="58"/>
      <c r="B98" s="55"/>
      <c r="C98" s="56"/>
    </row>
    <row r="99" spans="1:3" ht="15">
      <c r="A99" s="58"/>
      <c r="B99" s="55"/>
      <c r="C99" s="56"/>
    </row>
    <row r="100" spans="1:3" ht="15">
      <c r="A100" s="58"/>
      <c r="B100" s="55"/>
      <c r="C100" s="56"/>
    </row>
    <row r="101" spans="1:3" ht="15">
      <c r="A101" s="58"/>
      <c r="B101" s="55"/>
      <c r="C101" s="56"/>
    </row>
    <row r="102" spans="1:3" ht="15">
      <c r="A102" s="58"/>
      <c r="B102" s="55"/>
      <c r="C102" s="56"/>
    </row>
    <row r="103" spans="1:3" ht="15">
      <c r="A103" s="58"/>
      <c r="B103" s="55"/>
      <c r="C103" s="56"/>
    </row>
    <row r="104" spans="1:3" ht="15">
      <c r="A104" s="58"/>
      <c r="B104" s="55"/>
      <c r="C104" s="56"/>
    </row>
    <row r="105" spans="1:3" ht="15">
      <c r="A105" s="58"/>
      <c r="B105" s="55"/>
      <c r="C105" s="56"/>
    </row>
    <row r="106" spans="1:3" ht="15">
      <c r="A106" s="58"/>
      <c r="B106" s="55"/>
      <c r="C106" s="56"/>
    </row>
    <row r="107" spans="1:3" ht="15">
      <c r="A107" s="58"/>
      <c r="B107" s="55"/>
      <c r="C107" s="56"/>
    </row>
    <row r="108" spans="1:3" ht="15">
      <c r="A108" s="58"/>
      <c r="B108" s="55"/>
      <c r="C108" s="56"/>
    </row>
    <row r="109" spans="1:3" ht="15">
      <c r="A109" s="58"/>
      <c r="B109" s="55"/>
      <c r="C109" s="56"/>
    </row>
    <row r="110" spans="1:3" ht="15">
      <c r="A110" s="58"/>
      <c r="B110" s="55"/>
      <c r="C110" s="56"/>
    </row>
    <row r="111" spans="1:3" ht="15">
      <c r="A111" s="58"/>
      <c r="B111" s="55"/>
      <c r="C111" s="56"/>
    </row>
    <row r="112" spans="1:3" ht="15">
      <c r="A112" s="58"/>
      <c r="B112" s="55"/>
      <c r="C112" s="56"/>
    </row>
    <row r="113" spans="1:3" ht="15">
      <c r="A113" s="58"/>
      <c r="B113" s="55"/>
      <c r="C113" s="56"/>
    </row>
    <row r="114" spans="1:3" ht="15">
      <c r="A114" s="58"/>
      <c r="B114" s="55"/>
      <c r="C114" s="56"/>
    </row>
    <row r="115" spans="1:3" ht="15">
      <c r="A115" s="58"/>
      <c r="B115" s="55"/>
      <c r="C115" s="56"/>
    </row>
    <row r="116" spans="1:3" ht="15">
      <c r="A116" s="58"/>
      <c r="B116" s="55"/>
      <c r="C116" s="56"/>
    </row>
    <row r="117" spans="1:3" ht="15">
      <c r="A117" s="58"/>
      <c r="B117" s="55"/>
      <c r="C117" s="56"/>
    </row>
    <row r="118" spans="1:3" ht="15">
      <c r="A118" s="58"/>
      <c r="B118" s="55"/>
      <c r="C118" s="56"/>
    </row>
    <row r="119" spans="1:3" ht="15">
      <c r="A119" s="58"/>
      <c r="B119" s="55"/>
      <c r="C119" s="56"/>
    </row>
    <row r="120" spans="1:3" ht="15">
      <c r="A120" s="58"/>
      <c r="B120" s="55"/>
      <c r="C120" s="56"/>
    </row>
    <row r="121" spans="1:3" ht="15">
      <c r="A121" s="58"/>
      <c r="B121" s="55"/>
      <c r="C121" s="56"/>
    </row>
    <row r="122" spans="1:3" ht="15">
      <c r="A122" s="58"/>
      <c r="B122" s="55"/>
      <c r="C122" s="56"/>
    </row>
    <row r="123" spans="1:3" ht="15">
      <c r="A123" s="58"/>
      <c r="B123" s="55"/>
      <c r="C123" s="56"/>
    </row>
    <row r="124" spans="1:3" ht="15">
      <c r="A124" s="58"/>
      <c r="B124" s="55"/>
      <c r="C124" s="56"/>
    </row>
    <row r="125" spans="1:3" ht="15">
      <c r="A125" s="58"/>
      <c r="B125" s="55"/>
      <c r="C125" s="56"/>
    </row>
    <row r="126" spans="1:3" ht="15">
      <c r="A126" s="58"/>
      <c r="B126" s="55"/>
      <c r="C126" s="56"/>
    </row>
    <row r="127" spans="1:3" ht="15">
      <c r="A127" s="58"/>
      <c r="B127" s="55"/>
      <c r="C127" s="56"/>
    </row>
    <row r="128" spans="1:3" ht="15">
      <c r="A128" s="58"/>
      <c r="B128" s="55"/>
      <c r="C128" s="56"/>
    </row>
    <row r="129" spans="1:3" ht="15">
      <c r="A129" s="58"/>
      <c r="B129" s="55"/>
      <c r="C129" s="56"/>
    </row>
    <row r="130" spans="1:3" ht="15">
      <c r="A130" s="58"/>
      <c r="B130" s="55"/>
      <c r="C130" s="56"/>
    </row>
    <row r="131" spans="1:3" ht="15">
      <c r="A131" s="58"/>
      <c r="B131" s="55"/>
      <c r="C131" s="56"/>
    </row>
    <row r="132" spans="1:3" ht="15">
      <c r="A132" s="58"/>
      <c r="B132" s="55"/>
      <c r="C132" s="56"/>
    </row>
    <row r="133" spans="1:3" ht="15">
      <c r="A133" s="58"/>
      <c r="B133" s="55"/>
      <c r="C133" s="56"/>
    </row>
    <row r="134" spans="1:3" ht="15">
      <c r="A134" s="58"/>
      <c r="B134" s="55"/>
      <c r="C134" s="56"/>
    </row>
    <row r="135" spans="1:3" ht="15">
      <c r="A135" s="58"/>
      <c r="B135" s="55"/>
      <c r="C135" s="56"/>
    </row>
    <row r="136" spans="1:3" ht="15">
      <c r="A136" s="58"/>
      <c r="B136" s="55"/>
      <c r="C136" s="56"/>
    </row>
    <row r="137" spans="1:3" ht="15">
      <c r="A137" s="58"/>
      <c r="B137" s="55"/>
      <c r="C137" s="56"/>
    </row>
    <row r="138" spans="1:3" ht="15">
      <c r="A138" s="58"/>
      <c r="B138" s="55"/>
      <c r="C138" s="56"/>
    </row>
    <row r="139" spans="1:3" ht="15">
      <c r="A139" s="58"/>
      <c r="B139" s="55"/>
      <c r="C139" s="56"/>
    </row>
    <row r="140" spans="1:3" ht="15">
      <c r="A140" s="58"/>
      <c r="B140" s="55"/>
      <c r="C140" s="56"/>
    </row>
    <row r="141" spans="1:3" ht="15">
      <c r="A141" s="58"/>
      <c r="B141" s="55"/>
      <c r="C141" s="56"/>
    </row>
    <row r="142" spans="1:3" ht="15">
      <c r="A142" s="58"/>
      <c r="B142" s="55"/>
      <c r="C142" s="56"/>
    </row>
    <row r="143" spans="1:3" ht="15">
      <c r="A143" s="58"/>
      <c r="B143" s="55"/>
      <c r="C143" s="56"/>
    </row>
    <row r="144" spans="1:3" ht="15">
      <c r="A144" s="58"/>
      <c r="B144" s="55"/>
      <c r="C144" s="56"/>
    </row>
    <row r="145" spans="1:3" ht="15">
      <c r="A145" s="58"/>
      <c r="B145" s="55"/>
      <c r="C145" s="56"/>
    </row>
    <row r="146" spans="1:3" ht="15">
      <c r="A146" s="58"/>
      <c r="B146" s="55"/>
      <c r="C146" s="56"/>
    </row>
    <row r="147" spans="1:3" ht="15">
      <c r="A147" s="58"/>
      <c r="B147" s="55"/>
      <c r="C147" s="56"/>
    </row>
    <row r="148" spans="1:3" ht="15">
      <c r="A148" s="58"/>
      <c r="B148" s="55"/>
      <c r="C148" s="56"/>
    </row>
    <row r="149" spans="1:3" ht="15">
      <c r="A149" s="58"/>
      <c r="B149" s="55"/>
      <c r="C149" s="56"/>
    </row>
    <row r="150" spans="1:3" ht="15">
      <c r="A150" s="58"/>
      <c r="B150" s="55"/>
      <c r="C150" s="56"/>
    </row>
    <row r="151" spans="1:3" ht="15">
      <c r="A151" s="58"/>
      <c r="B151" s="55"/>
      <c r="C151" s="56"/>
    </row>
    <row r="152" spans="1:3" ht="15">
      <c r="A152" s="58"/>
      <c r="B152" s="55"/>
      <c r="C152" s="56"/>
    </row>
    <row r="153" spans="1:3" ht="15">
      <c r="A153" s="58"/>
      <c r="B153" s="55"/>
      <c r="C153" s="56"/>
    </row>
    <row r="154" spans="1:3" ht="15">
      <c r="A154" s="58"/>
      <c r="B154" s="55"/>
      <c r="C154" s="56"/>
    </row>
    <row r="155" spans="1:3" ht="15">
      <c r="A155" s="58"/>
      <c r="B155" s="55"/>
      <c r="C155" s="56"/>
    </row>
    <row r="156" spans="1:3" ht="15">
      <c r="A156" s="58"/>
      <c r="B156" s="55"/>
      <c r="C156" s="56"/>
    </row>
    <row r="157" spans="1:3" ht="15">
      <c r="A157" s="58"/>
      <c r="B157" s="55"/>
      <c r="C157" s="56"/>
    </row>
    <row r="158" spans="1:3" ht="15">
      <c r="A158" s="58"/>
      <c r="B158" s="55"/>
      <c r="C158" s="56"/>
    </row>
    <row r="159" spans="1:3" ht="15">
      <c r="A159" s="58"/>
      <c r="B159" s="55"/>
      <c r="C159" s="56"/>
    </row>
    <row r="160" spans="1:3" ht="15">
      <c r="A160" s="58"/>
      <c r="B160" s="55"/>
      <c r="C160" s="56"/>
    </row>
    <row r="161" spans="1:3" ht="15">
      <c r="A161" s="58"/>
      <c r="B161" s="55"/>
      <c r="C161" s="56"/>
    </row>
    <row r="162" spans="1:3" ht="15">
      <c r="A162" s="58"/>
      <c r="B162" s="55"/>
      <c r="C162" s="56"/>
    </row>
    <row r="163" spans="1:3" ht="15">
      <c r="A163" s="58"/>
      <c r="B163" s="55"/>
      <c r="C163" s="56"/>
    </row>
    <row r="164" spans="1:3" ht="15">
      <c r="A164" s="58"/>
      <c r="B164" s="55"/>
      <c r="C164" s="56"/>
    </row>
    <row r="165" spans="1:3" ht="15">
      <c r="A165" s="58"/>
      <c r="B165" s="55"/>
      <c r="C165" s="56"/>
    </row>
    <row r="166" spans="1:3" ht="15">
      <c r="A166" s="58"/>
      <c r="B166" s="55"/>
      <c r="C166" s="56"/>
    </row>
    <row r="167" spans="1:3" ht="15">
      <c r="A167" s="58"/>
      <c r="B167" s="55"/>
      <c r="C167" s="56"/>
    </row>
    <row r="168" spans="1:3" ht="15">
      <c r="A168" s="58"/>
      <c r="B168" s="55"/>
      <c r="C168" s="56"/>
    </row>
    <row r="169" spans="1:3" ht="15">
      <c r="A169" s="58"/>
      <c r="B169" s="55"/>
      <c r="C169" s="56"/>
    </row>
    <row r="170" spans="1:3" ht="15">
      <c r="A170" s="58"/>
      <c r="B170" s="55"/>
      <c r="C170" s="56"/>
    </row>
    <row r="171" spans="1:3" ht="15">
      <c r="A171" s="58"/>
      <c r="B171" s="55"/>
      <c r="C171" s="56"/>
    </row>
    <row r="172" spans="1:3" ht="15">
      <c r="A172" s="58"/>
      <c r="B172" s="55"/>
      <c r="C172" s="56"/>
    </row>
    <row r="173" spans="1:3" ht="15">
      <c r="A173" s="58"/>
      <c r="B173" s="55"/>
      <c r="C173" s="56"/>
    </row>
    <row r="174" spans="1:3" ht="15">
      <c r="A174" s="58"/>
      <c r="B174" s="55"/>
      <c r="C174" s="56"/>
    </row>
    <row r="175" spans="1:3" ht="15">
      <c r="A175" s="58"/>
      <c r="B175" s="55"/>
      <c r="C175" s="56"/>
    </row>
    <row r="176" spans="1:3" ht="15">
      <c r="A176" s="58"/>
      <c r="B176" s="55"/>
      <c r="C176" s="56"/>
    </row>
    <row r="177" spans="1:3" ht="15">
      <c r="A177" s="58"/>
      <c r="B177" s="55"/>
      <c r="C177" s="56"/>
    </row>
    <row r="178" spans="1:3" ht="15">
      <c r="A178" s="58"/>
      <c r="B178" s="55"/>
      <c r="C178" s="56"/>
    </row>
    <row r="179" spans="1:3" ht="15">
      <c r="A179" s="58"/>
      <c r="B179" s="55"/>
      <c r="C179" s="56"/>
    </row>
    <row r="180" spans="1:3" ht="15">
      <c r="A180" s="58"/>
      <c r="B180" s="55"/>
      <c r="C180" s="56"/>
    </row>
    <row r="181" spans="1:3" ht="15">
      <c r="A181" s="58"/>
      <c r="B181" s="55"/>
      <c r="C181" s="56"/>
    </row>
    <row r="182" spans="1:3" ht="15">
      <c r="A182" s="58"/>
      <c r="B182" s="55"/>
      <c r="C182" s="56"/>
    </row>
    <row r="183" spans="1:3" ht="15">
      <c r="A183" s="58"/>
      <c r="B183" s="55"/>
      <c r="C183" s="56"/>
    </row>
    <row r="184" spans="1:3" ht="15">
      <c r="A184" s="58"/>
      <c r="B184" s="55"/>
      <c r="C184" s="56"/>
    </row>
    <row r="185" spans="1:3" ht="15">
      <c r="A185" s="58"/>
      <c r="B185" s="55"/>
      <c r="C185" s="56"/>
    </row>
    <row r="186" spans="1:3" ht="15">
      <c r="A186" s="58"/>
      <c r="B186" s="55"/>
      <c r="C186" s="56"/>
    </row>
    <row r="187" spans="1:3" ht="15">
      <c r="A187" s="58"/>
      <c r="B187" s="55"/>
      <c r="C187" s="56"/>
    </row>
    <row r="188" spans="1:3" ht="15">
      <c r="A188" s="58"/>
      <c r="B188" s="55"/>
      <c r="C188" s="56"/>
    </row>
    <row r="189" spans="1:3" ht="15">
      <c r="A189" s="58"/>
      <c r="B189" s="55"/>
      <c r="C189" s="56"/>
    </row>
    <row r="190" spans="1:3" ht="15">
      <c r="A190" s="58"/>
      <c r="B190" s="55"/>
      <c r="C190" s="56"/>
    </row>
    <row r="191" spans="1:3" ht="15">
      <c r="A191" s="58"/>
      <c r="B191" s="55"/>
      <c r="C191" s="56"/>
    </row>
    <row r="192" spans="1:3" ht="15">
      <c r="A192" s="58"/>
      <c r="B192" s="55"/>
      <c r="C192" s="56"/>
    </row>
    <row r="193" spans="1:3" ht="15">
      <c r="A193" s="58"/>
      <c r="B193" s="55"/>
      <c r="C193" s="56"/>
    </row>
    <row r="194" spans="1:3" ht="15">
      <c r="A194" s="58"/>
      <c r="B194" s="55"/>
      <c r="C194" s="56"/>
    </row>
    <row r="195" spans="1:3" ht="15">
      <c r="A195" s="58"/>
      <c r="B195" s="55"/>
      <c r="C195" s="56"/>
    </row>
    <row r="196" spans="1:3" ht="15">
      <c r="A196" s="58"/>
      <c r="B196" s="55"/>
      <c r="C196" s="56"/>
    </row>
    <row r="197" spans="1:3" ht="15">
      <c r="A197" s="58"/>
      <c r="B197" s="55"/>
      <c r="C197" s="56"/>
    </row>
    <row r="198" spans="1:3" ht="15">
      <c r="A198" s="58"/>
      <c r="B198" s="55"/>
      <c r="C198" s="56"/>
    </row>
    <row r="199" spans="1:3" ht="15">
      <c r="A199" s="58"/>
      <c r="B199" s="55"/>
      <c r="C199" s="56"/>
    </row>
    <row r="200" spans="1:3" ht="15">
      <c r="A200" s="58"/>
      <c r="B200" s="55"/>
      <c r="C200" s="56"/>
    </row>
    <row r="201" spans="1:3" ht="15">
      <c r="A201" s="58"/>
      <c r="B201" s="55"/>
      <c r="C201" s="56"/>
    </row>
    <row r="202" spans="1:3" ht="15">
      <c r="A202" s="58"/>
      <c r="B202" s="55"/>
      <c r="C202" s="56"/>
    </row>
    <row r="203" spans="1:3" ht="15">
      <c r="A203" s="58"/>
      <c r="B203" s="55"/>
      <c r="C203" s="56"/>
    </row>
    <row r="204" spans="1:3" ht="15">
      <c r="A204" s="58"/>
      <c r="B204" s="55"/>
      <c r="C204" s="56"/>
    </row>
    <row r="205" spans="1:3" ht="15">
      <c r="A205" s="58"/>
      <c r="B205" s="55"/>
      <c r="C205" s="56"/>
    </row>
    <row r="206" spans="1:3" ht="15">
      <c r="A206" s="58"/>
      <c r="B206" s="55"/>
      <c r="C206" s="56"/>
    </row>
    <row r="207" spans="1:3" ht="15">
      <c r="A207" s="58"/>
      <c r="B207" s="55"/>
      <c r="C207" s="56"/>
    </row>
    <row r="208" spans="1:3" ht="15">
      <c r="A208" s="58"/>
      <c r="B208" s="55"/>
      <c r="C208" s="56"/>
    </row>
    <row r="209" spans="1:3" ht="15">
      <c r="A209" s="58"/>
      <c r="B209" s="55"/>
      <c r="C209" s="56"/>
    </row>
    <row r="210" spans="1:3" ht="15">
      <c r="A210" s="58"/>
      <c r="B210" s="55"/>
      <c r="C210" s="56"/>
    </row>
    <row r="211" spans="1:3" ht="15">
      <c r="A211" s="58"/>
      <c r="B211" s="55"/>
      <c r="C211" s="56"/>
    </row>
    <row r="212" spans="1:3" ht="15">
      <c r="A212" s="58"/>
      <c r="B212" s="55"/>
      <c r="C212" s="56"/>
    </row>
    <row r="213" spans="1:3" ht="15">
      <c r="A213" s="58"/>
      <c r="B213" s="55"/>
      <c r="C213" s="56"/>
    </row>
    <row r="214" spans="1:3" ht="15">
      <c r="A214" s="58"/>
      <c r="B214" s="55"/>
      <c r="C214" s="56"/>
    </row>
    <row r="215" spans="1:3" ht="15">
      <c r="A215" s="58"/>
      <c r="B215" s="55"/>
      <c r="C215" s="56"/>
    </row>
    <row r="216" spans="1:3" ht="15">
      <c r="A216" s="58"/>
      <c r="B216" s="55"/>
      <c r="C216" s="56"/>
    </row>
    <row r="217" spans="1:3" ht="15">
      <c r="A217" s="58"/>
      <c r="B217" s="55"/>
      <c r="C217" s="56"/>
    </row>
    <row r="218" spans="1:3" ht="15">
      <c r="A218" s="58"/>
      <c r="B218" s="55"/>
      <c r="C218" s="56"/>
    </row>
    <row r="219" spans="1:3" ht="15">
      <c r="A219" s="58"/>
      <c r="B219" s="55"/>
      <c r="C219" s="56"/>
    </row>
    <row r="220" spans="1:3" ht="15">
      <c r="A220" s="58"/>
      <c r="B220" s="55"/>
      <c r="C220" s="56"/>
    </row>
    <row r="221" spans="1:3" ht="15">
      <c r="A221" s="58"/>
      <c r="B221" s="55"/>
      <c r="C221" s="56"/>
    </row>
    <row r="222" spans="1:3" ht="15">
      <c r="A222" s="58"/>
      <c r="B222" s="55"/>
      <c r="C222" s="56"/>
    </row>
    <row r="223" spans="1:3" ht="15">
      <c r="A223" s="58"/>
      <c r="B223" s="55"/>
      <c r="C223" s="56"/>
    </row>
    <row r="224" spans="1:3" ht="15">
      <c r="A224" s="58"/>
      <c r="B224" s="55"/>
      <c r="C224" s="56"/>
    </row>
    <row r="225" spans="1:3" ht="15">
      <c r="A225" s="58"/>
      <c r="B225" s="55"/>
      <c r="C225" s="56"/>
    </row>
    <row r="226" spans="1:3" ht="15">
      <c r="A226" s="58"/>
      <c r="B226" s="55"/>
      <c r="C226" s="56"/>
    </row>
    <row r="227" spans="1:3" ht="15">
      <c r="A227" s="58"/>
      <c r="B227" s="55"/>
      <c r="C227" s="56"/>
    </row>
    <row r="228" spans="1:3" ht="15">
      <c r="A228" s="58"/>
      <c r="B228" s="55"/>
      <c r="C228" s="56"/>
    </row>
    <row r="229" spans="1:3" ht="15">
      <c r="A229" s="58"/>
      <c r="B229" s="55"/>
      <c r="C229" s="56"/>
    </row>
    <row r="230" spans="1:3" ht="15">
      <c r="A230" s="58"/>
      <c r="B230" s="55"/>
      <c r="C230" s="56"/>
    </row>
    <row r="231" spans="1:3" ht="15">
      <c r="A231" s="58"/>
      <c r="B231" s="55"/>
      <c r="C231" s="56"/>
    </row>
    <row r="232" spans="1:3" ht="15">
      <c r="A232" s="58"/>
      <c r="B232" s="55"/>
      <c r="C232" s="56"/>
    </row>
    <row r="233" spans="1:3" ht="15">
      <c r="A233" s="58"/>
      <c r="B233" s="55"/>
      <c r="C233" s="56"/>
    </row>
    <row r="234" spans="1:3" ht="15">
      <c r="A234" s="58"/>
      <c r="B234" s="55"/>
      <c r="C234" s="56"/>
    </row>
    <row r="235" spans="1:3" ht="15">
      <c r="A235" s="58"/>
      <c r="B235" s="55"/>
      <c r="C235" s="56"/>
    </row>
    <row r="236" spans="1:3" ht="15">
      <c r="A236" s="58"/>
      <c r="B236" s="55"/>
      <c r="C236" s="56"/>
    </row>
    <row r="237" spans="1:3" ht="15">
      <c r="A237" s="58"/>
      <c r="B237" s="55"/>
      <c r="C237" s="56"/>
    </row>
    <row r="238" spans="1:3" ht="15">
      <c r="A238" s="58"/>
      <c r="B238" s="55"/>
      <c r="C238" s="56"/>
    </row>
    <row r="239" spans="1:3" ht="15">
      <c r="A239" s="58"/>
      <c r="B239" s="55"/>
      <c r="C239" s="56"/>
    </row>
    <row r="240" spans="1:3" ht="15">
      <c r="A240" s="58"/>
      <c r="B240" s="55"/>
      <c r="C240" s="56"/>
    </row>
    <row r="241" spans="1:3" ht="15">
      <c r="A241" s="58"/>
      <c r="B241" s="55"/>
      <c r="C241" s="56"/>
    </row>
    <row r="242" spans="1:3" ht="15">
      <c r="A242" s="58"/>
      <c r="B242" s="55"/>
      <c r="C242" s="56"/>
    </row>
    <row r="243" spans="1:3" ht="15">
      <c r="A243" s="58"/>
      <c r="B243" s="55"/>
      <c r="C243" s="56"/>
    </row>
    <row r="244" spans="1:3" ht="15">
      <c r="A244" s="58"/>
      <c r="B244" s="55"/>
      <c r="C244" s="56"/>
    </row>
    <row r="245" spans="1:3" ht="15">
      <c r="A245" s="58"/>
      <c r="B245" s="55"/>
      <c r="C245" s="56"/>
    </row>
    <row r="246" spans="1:3" ht="15">
      <c r="A246" s="58"/>
      <c r="B246" s="55"/>
      <c r="C246" s="56"/>
    </row>
    <row r="247" spans="1:3" ht="15">
      <c r="A247" s="58"/>
      <c r="B247" s="55"/>
      <c r="C247" s="56"/>
    </row>
    <row r="248" spans="1:3" ht="15">
      <c r="A248" s="58"/>
      <c r="B248" s="55"/>
      <c r="C248" s="56"/>
    </row>
    <row r="249" spans="1:3" ht="15">
      <c r="A249" s="58"/>
      <c r="B249" s="55"/>
      <c r="C249" s="56"/>
    </row>
    <row r="250" spans="1:3" ht="15">
      <c r="A250" s="58"/>
      <c r="B250" s="55"/>
      <c r="C250" s="56"/>
    </row>
    <row r="251" spans="1:3" ht="15">
      <c r="A251" s="58"/>
      <c r="B251" s="55"/>
      <c r="C251" s="56"/>
    </row>
    <row r="252" spans="1:3" ht="15">
      <c r="A252" s="58"/>
      <c r="B252" s="55"/>
      <c r="C252" s="56"/>
    </row>
    <row r="253" spans="1:3" ht="15">
      <c r="A253" s="58"/>
      <c r="B253" s="55"/>
      <c r="C253" s="56"/>
    </row>
    <row r="254" spans="1:3" ht="15">
      <c r="A254" s="58"/>
      <c r="B254" s="55"/>
      <c r="C254" s="56"/>
    </row>
    <row r="255" spans="1:3" ht="15">
      <c r="A255" s="58"/>
      <c r="B255" s="55"/>
      <c r="C255" s="56"/>
    </row>
    <row r="256" spans="1:3" ht="15">
      <c r="A256" s="58"/>
      <c r="B256" s="55"/>
      <c r="C256" s="56"/>
    </row>
    <row r="257" spans="1:3" ht="15">
      <c r="A257" s="58"/>
      <c r="B257" s="55"/>
      <c r="C257" s="56"/>
    </row>
    <row r="258" spans="1:3" ht="15">
      <c r="A258" s="58"/>
      <c r="B258" s="55"/>
      <c r="C258" s="56"/>
    </row>
    <row r="259" spans="1:3" ht="15">
      <c r="A259" s="58"/>
      <c r="B259" s="55"/>
      <c r="C259" s="56"/>
    </row>
    <row r="260" spans="1:3" ht="15">
      <c r="A260" s="58"/>
      <c r="B260" s="55"/>
      <c r="C260" s="56"/>
    </row>
    <row r="261" spans="1:3" ht="15">
      <c r="A261" s="58"/>
      <c r="B261" s="55"/>
      <c r="C261" s="56"/>
    </row>
    <row r="262" spans="1:3" ht="15">
      <c r="A262" s="58"/>
      <c r="B262" s="55"/>
      <c r="C262" s="56"/>
    </row>
    <row r="263" spans="1:3" ht="15">
      <c r="A263" s="58"/>
      <c r="B263" s="55"/>
      <c r="C263" s="56"/>
    </row>
    <row r="264" spans="1:3" ht="15">
      <c r="A264" s="58"/>
      <c r="B264" s="55"/>
      <c r="C264" s="56"/>
    </row>
    <row r="265" spans="1:3" ht="15">
      <c r="A265" s="58"/>
      <c r="B265" s="55"/>
      <c r="C265" s="56"/>
    </row>
    <row r="266" spans="1:3" ht="15">
      <c r="A266" s="58"/>
      <c r="B266" s="55"/>
      <c r="C266" s="56"/>
    </row>
    <row r="267" spans="1:3" ht="15">
      <c r="A267" s="58"/>
      <c r="B267" s="55"/>
      <c r="C267" s="56"/>
    </row>
    <row r="268" spans="1:3" ht="15">
      <c r="A268" s="58"/>
      <c r="B268" s="55"/>
      <c r="C268" s="56"/>
    </row>
    <row r="269" spans="1:3" ht="15">
      <c r="A269" s="58"/>
      <c r="B269" s="55"/>
      <c r="C269" s="56"/>
    </row>
    <row r="270" spans="1:3" ht="15">
      <c r="A270" s="58"/>
      <c r="B270" s="55"/>
      <c r="C270" s="56"/>
    </row>
    <row r="271" spans="1:3" ht="15">
      <c r="A271" s="58"/>
      <c r="B271" s="55"/>
      <c r="C271" s="56"/>
    </row>
    <row r="272" spans="1:3" ht="15">
      <c r="A272" s="58"/>
      <c r="B272" s="55"/>
      <c r="C272" s="56"/>
    </row>
    <row r="273" spans="1:3" ht="15">
      <c r="A273" s="58"/>
      <c r="B273" s="55"/>
      <c r="C273" s="56"/>
    </row>
    <row r="274" spans="1:3" ht="15">
      <c r="A274" s="58"/>
      <c r="B274" s="55"/>
      <c r="C274" s="56"/>
    </row>
    <row r="275" spans="1:3" ht="15">
      <c r="A275" s="58"/>
      <c r="B275" s="55"/>
      <c r="C275" s="56"/>
    </row>
    <row r="276" spans="1:3" ht="15">
      <c r="A276" s="58"/>
      <c r="B276" s="55"/>
      <c r="C276" s="56"/>
    </row>
    <row r="277" spans="1:3" ht="15">
      <c r="A277" s="58"/>
      <c r="B277" s="55"/>
      <c r="C277" s="56"/>
    </row>
    <row r="278" spans="1:3" ht="15">
      <c r="A278" s="58"/>
      <c r="B278" s="55"/>
      <c r="C278" s="56"/>
    </row>
    <row r="279" spans="1:3" ht="15">
      <c r="A279" s="58"/>
      <c r="B279" s="55"/>
      <c r="C279" s="56"/>
    </row>
    <row r="280" spans="1:3" ht="15">
      <c r="A280" s="58"/>
      <c r="B280" s="55"/>
      <c r="C280" s="56"/>
    </row>
    <row r="281" spans="1:3" ht="15">
      <c r="A281" s="58"/>
      <c r="B281" s="55"/>
      <c r="C281" s="56"/>
    </row>
    <row r="282" spans="1:3" ht="15">
      <c r="A282" s="58"/>
      <c r="B282" s="55"/>
      <c r="C282" s="56"/>
    </row>
    <row r="283" spans="1:3" ht="15">
      <c r="A283" s="58"/>
      <c r="B283" s="55"/>
      <c r="C283" s="56"/>
    </row>
    <row r="284" spans="1:3" ht="15">
      <c r="A284" s="58"/>
      <c r="B284" s="55"/>
      <c r="C284" s="56"/>
    </row>
    <row r="285" spans="1:3" ht="15">
      <c r="A285" s="58"/>
      <c r="B285" s="55"/>
      <c r="C285" s="56"/>
    </row>
    <row r="286" spans="1:3" ht="15">
      <c r="A286" s="58"/>
      <c r="B286" s="55"/>
      <c r="C286" s="56"/>
    </row>
    <row r="287" spans="1:3" ht="15">
      <c r="A287" s="58"/>
      <c r="B287" s="55"/>
      <c r="C287" s="56"/>
    </row>
    <row r="288" spans="1:3" ht="15">
      <c r="A288" s="58"/>
      <c r="B288" s="55"/>
      <c r="C288" s="56"/>
    </row>
    <row r="289" spans="1:3" ht="15">
      <c r="A289" s="58"/>
      <c r="B289" s="55"/>
      <c r="C289" s="56"/>
    </row>
    <row r="290" spans="1:3" ht="15">
      <c r="A290" s="58"/>
      <c r="B290" s="55"/>
      <c r="C290" s="56"/>
    </row>
    <row r="291" spans="1:3" ht="15">
      <c r="A291" s="58"/>
      <c r="B291" s="55"/>
      <c r="C291" s="56"/>
    </row>
    <row r="292" spans="1:3" ht="15">
      <c r="A292" s="58"/>
      <c r="B292" s="55"/>
      <c r="C292" s="56"/>
    </row>
    <row r="293" spans="1:3" ht="15">
      <c r="A293" s="58"/>
      <c r="B293" s="55"/>
      <c r="C293" s="56"/>
    </row>
    <row r="294" spans="1:3" ht="15">
      <c r="A294" s="58"/>
      <c r="B294" s="55"/>
      <c r="C294" s="56"/>
    </row>
    <row r="295" spans="1:3" ht="15">
      <c r="A295" s="58"/>
      <c r="B295" s="55"/>
      <c r="C295" s="56"/>
    </row>
    <row r="296" spans="1:3" ht="15">
      <c r="A296" s="58"/>
      <c r="B296" s="55"/>
      <c r="C296" s="56"/>
    </row>
    <row r="297" spans="1:3" ht="15">
      <c r="A297" s="58"/>
      <c r="B297" s="55"/>
      <c r="C297" s="56"/>
    </row>
    <row r="298" spans="1:3" ht="15">
      <c r="A298" s="58"/>
      <c r="B298" s="55"/>
      <c r="C298" s="56"/>
    </row>
    <row r="299" spans="1:3" ht="15">
      <c r="A299" s="58"/>
      <c r="B299" s="55"/>
      <c r="C299" s="56"/>
    </row>
    <row r="300" spans="1:3" ht="15">
      <c r="A300" s="58"/>
      <c r="B300" s="55"/>
      <c r="C300" s="56"/>
    </row>
    <row r="301" spans="1:3" ht="15">
      <c r="A301" s="58"/>
      <c r="B301" s="55"/>
      <c r="C301" s="56"/>
    </row>
    <row r="302" spans="1:3" ht="15">
      <c r="A302" s="58"/>
      <c r="B302" s="55"/>
      <c r="C302" s="56"/>
    </row>
    <row r="303" spans="1:3" ht="15">
      <c r="A303" s="58"/>
      <c r="B303" s="55"/>
      <c r="C303" s="56"/>
    </row>
    <row r="304" spans="1:3" ht="15">
      <c r="A304" s="58"/>
      <c r="B304" s="55"/>
      <c r="C304" s="56"/>
    </row>
    <row r="305" spans="1:3" ht="15">
      <c r="A305" s="58"/>
      <c r="B305" s="55"/>
      <c r="C305" s="56"/>
    </row>
    <row r="306" spans="1:3" ht="15">
      <c r="A306" s="58"/>
      <c r="B306" s="55"/>
      <c r="C306" s="56"/>
    </row>
    <row r="307" spans="1:3" ht="15">
      <c r="A307" s="58"/>
      <c r="B307" s="55"/>
      <c r="C307" s="56"/>
    </row>
    <row r="308" spans="1:3" ht="15">
      <c r="A308" s="58"/>
      <c r="B308" s="55"/>
      <c r="C308" s="56"/>
    </row>
    <row r="309" spans="1:3" ht="15">
      <c r="A309" s="58"/>
      <c r="B309" s="55"/>
      <c r="C309" s="56"/>
    </row>
    <row r="310" spans="1:3" ht="15">
      <c r="A310" s="58"/>
      <c r="B310" s="55"/>
      <c r="C310" s="56"/>
    </row>
    <row r="311" spans="1:3" ht="15">
      <c r="A311" s="58"/>
      <c r="B311" s="55"/>
      <c r="C311" s="56"/>
    </row>
    <row r="312" spans="1:3" ht="15">
      <c r="A312" s="58"/>
      <c r="B312" s="55"/>
      <c r="C312" s="56"/>
    </row>
    <row r="313" spans="1:3" ht="15">
      <c r="A313" s="58"/>
      <c r="B313" s="55"/>
      <c r="C313" s="56"/>
    </row>
    <row r="314" spans="1:3" ht="15">
      <c r="A314" s="58"/>
      <c r="B314" s="55"/>
      <c r="C314" s="56"/>
    </row>
    <row r="315" spans="1:3" ht="15">
      <c r="A315" s="58"/>
      <c r="B315" s="55"/>
      <c r="C315" s="56"/>
    </row>
    <row r="316" spans="1:3" ht="15">
      <c r="A316" s="58"/>
      <c r="B316" s="55"/>
      <c r="C316" s="56"/>
    </row>
    <row r="317" spans="1:3" ht="15">
      <c r="A317" s="58"/>
      <c r="B317" s="55"/>
      <c r="C317" s="56"/>
    </row>
    <row r="318" spans="1:3" ht="15">
      <c r="A318" s="58"/>
      <c r="B318" s="55"/>
      <c r="C318" s="56"/>
    </row>
    <row r="319" spans="1:3" ht="15">
      <c r="A319" s="58"/>
      <c r="B319" s="55"/>
      <c r="C319" s="56"/>
    </row>
    <row r="320" spans="1:3" ht="15">
      <c r="A320" s="58"/>
      <c r="B320" s="55"/>
      <c r="C320" s="56"/>
    </row>
    <row r="321" spans="1:3" ht="15">
      <c r="A321" s="58"/>
      <c r="B321" s="55"/>
      <c r="C321" s="56"/>
    </row>
    <row r="322" spans="1:3" ht="15">
      <c r="A322" s="58"/>
      <c r="B322" s="55"/>
      <c r="C322" s="56"/>
    </row>
    <row r="323" spans="1:3" ht="15">
      <c r="A323" s="58"/>
      <c r="B323" s="55"/>
      <c r="C323" s="56"/>
    </row>
    <row r="324" spans="1:3" ht="15">
      <c r="A324" s="58"/>
      <c r="B324" s="55"/>
      <c r="C324" s="56"/>
    </row>
    <row r="325" spans="1:3" ht="15">
      <c r="A325" s="58"/>
      <c r="B325" s="55"/>
      <c r="C325" s="56"/>
    </row>
    <row r="326" spans="1:3" ht="15">
      <c r="A326" s="58"/>
      <c r="B326" s="55"/>
      <c r="C326" s="56"/>
    </row>
    <row r="327" spans="1:3" ht="15">
      <c r="A327" s="58"/>
      <c r="B327" s="55"/>
      <c r="C327" s="56"/>
    </row>
    <row r="328" spans="1:3" ht="15">
      <c r="A328" s="58"/>
      <c r="B328" s="55"/>
      <c r="C328" s="56"/>
    </row>
    <row r="329" spans="1:3" ht="15">
      <c r="A329" s="58"/>
      <c r="B329" s="55"/>
      <c r="C329" s="56"/>
    </row>
    <row r="330" spans="1:3" ht="15">
      <c r="A330" s="58"/>
      <c r="B330" s="55"/>
      <c r="C330" s="56"/>
    </row>
    <row r="331" spans="1:3" ht="15">
      <c r="A331" s="58"/>
      <c r="B331" s="55"/>
      <c r="C331" s="56"/>
    </row>
    <row r="332" spans="1:3" ht="15">
      <c r="A332" s="58"/>
      <c r="B332" s="55"/>
      <c r="C332" s="56"/>
    </row>
    <row r="333" spans="1:3" ht="15">
      <c r="A333" s="58"/>
      <c r="B333" s="55"/>
      <c r="C333" s="56"/>
    </row>
    <row r="334" spans="1:3" ht="15">
      <c r="A334" s="58"/>
      <c r="B334" s="55"/>
      <c r="C334" s="56"/>
    </row>
    <row r="335" spans="1:3" ht="15">
      <c r="A335" s="58"/>
      <c r="B335" s="55"/>
      <c r="C335" s="56"/>
    </row>
    <row r="336" spans="1:3" ht="15">
      <c r="A336" s="58"/>
      <c r="B336" s="55"/>
      <c r="C336" s="56"/>
    </row>
    <row r="337" spans="1:3" ht="15">
      <c r="A337" s="58"/>
      <c r="B337" s="55"/>
      <c r="C337" s="56"/>
    </row>
    <row r="338" spans="1:3" ht="15">
      <c r="A338" s="58"/>
      <c r="B338" s="55"/>
      <c r="C338" s="56"/>
    </row>
    <row r="339" spans="1:3" ht="15">
      <c r="A339" s="58"/>
      <c r="B339" s="55"/>
      <c r="C339" s="56"/>
    </row>
    <row r="340" spans="1:3" ht="15">
      <c r="A340" s="58"/>
      <c r="B340" s="55"/>
      <c r="C340" s="56"/>
    </row>
    <row r="341" spans="1:3" ht="15">
      <c r="A341" s="58"/>
      <c r="B341" s="55"/>
      <c r="C341" s="56"/>
    </row>
    <row r="342" spans="1:3" ht="15">
      <c r="A342" s="58"/>
      <c r="B342" s="55"/>
      <c r="C342" s="56"/>
    </row>
    <row r="343" spans="1:3" ht="15">
      <c r="A343" s="58"/>
      <c r="B343" s="55"/>
      <c r="C343" s="56"/>
    </row>
    <row r="344" spans="1:3" ht="15">
      <c r="A344" s="58"/>
      <c r="B344" s="55"/>
      <c r="C344" s="56"/>
    </row>
    <row r="345" spans="1:3" ht="15">
      <c r="A345" s="58"/>
      <c r="B345" s="55"/>
      <c r="C345" s="56"/>
    </row>
    <row r="346" spans="1:3" ht="15">
      <c r="A346" s="58"/>
      <c r="B346" s="55"/>
      <c r="C346" s="56"/>
    </row>
    <row r="347" spans="1:3" ht="15">
      <c r="A347" s="58"/>
      <c r="B347" s="55"/>
      <c r="C347" s="56"/>
    </row>
    <row r="348" spans="1:3" ht="15">
      <c r="A348" s="58"/>
      <c r="B348" s="55"/>
      <c r="C348" s="56"/>
    </row>
    <row r="349" spans="1:3" ht="15">
      <c r="A349" s="58"/>
      <c r="B349" s="55"/>
      <c r="C349" s="56"/>
    </row>
    <row r="350" spans="1:3" ht="15">
      <c r="A350" s="58"/>
      <c r="B350" s="55"/>
      <c r="C350" s="56"/>
    </row>
    <row r="351" spans="1:3" ht="15">
      <c r="A351" s="58"/>
      <c r="B351" s="55"/>
      <c r="C351" s="56"/>
    </row>
    <row r="352" spans="1:3" ht="15">
      <c r="A352" s="58"/>
      <c r="B352" s="55"/>
      <c r="C352" s="56"/>
    </row>
    <row r="353" spans="1:3" ht="15">
      <c r="A353" s="58"/>
      <c r="B353" s="55"/>
      <c r="C353" s="56"/>
    </row>
    <row r="354" spans="1:3" ht="15">
      <c r="A354" s="58"/>
      <c r="B354" s="55"/>
      <c r="C354" s="56"/>
    </row>
    <row r="355" spans="1:3" ht="15">
      <c r="A355" s="58"/>
      <c r="B355" s="55"/>
      <c r="C355" s="56"/>
    </row>
    <row r="356" spans="1:3" ht="15">
      <c r="A356" s="58"/>
      <c r="B356" s="55"/>
      <c r="C356" s="56"/>
    </row>
    <row r="357" spans="1:3" ht="15">
      <c r="A357" s="58"/>
      <c r="B357" s="55"/>
      <c r="C357" s="56"/>
    </row>
    <row r="358" spans="1:3" ht="15">
      <c r="A358" s="58"/>
      <c r="B358" s="55"/>
      <c r="C358" s="56"/>
    </row>
    <row r="359" spans="1:3" ht="15">
      <c r="A359" s="58"/>
      <c r="B359" s="55"/>
      <c r="C359" s="56"/>
    </row>
    <row r="360" spans="1:3" ht="15">
      <c r="A360" s="58"/>
      <c r="B360" s="55"/>
      <c r="C360" s="56"/>
    </row>
    <row r="361" spans="1:3" ht="15">
      <c r="A361" s="58"/>
      <c r="B361" s="55"/>
      <c r="C361" s="56"/>
    </row>
    <row r="362" spans="1:3" ht="15">
      <c r="A362" s="58"/>
      <c r="B362" s="55"/>
      <c r="C362" s="56"/>
    </row>
    <row r="363" spans="1:3" ht="15">
      <c r="A363" s="58"/>
      <c r="B363" s="55"/>
      <c r="C363" s="56"/>
    </row>
    <row r="364" spans="1:3" ht="15">
      <c r="A364" s="58"/>
      <c r="B364" s="55"/>
      <c r="C364" s="56"/>
    </row>
    <row r="365" spans="1:3" ht="15">
      <c r="A365" s="58"/>
      <c r="B365" s="55"/>
      <c r="C365" s="56"/>
    </row>
    <row r="366" spans="1:3" ht="15">
      <c r="A366" s="58"/>
      <c r="B366" s="55"/>
      <c r="C366" s="56"/>
    </row>
    <row r="367" spans="1:3" ht="15">
      <c r="A367" s="58"/>
      <c r="B367" s="55"/>
      <c r="C367" s="56"/>
    </row>
    <row r="368" spans="1:3" ht="15">
      <c r="A368" s="58"/>
      <c r="B368" s="55"/>
      <c r="C368" s="56"/>
    </row>
    <row r="369" spans="1:3" ht="15">
      <c r="A369" s="58"/>
      <c r="B369" s="55"/>
      <c r="C369" s="56"/>
    </row>
    <row r="370" spans="1:3" ht="15">
      <c r="A370" s="58"/>
      <c r="B370" s="55"/>
      <c r="C370" s="56"/>
    </row>
    <row r="371" spans="1:3" ht="15">
      <c r="A371" s="58"/>
      <c r="B371" s="55"/>
      <c r="C371" s="56"/>
    </row>
    <row r="372" spans="1:3" ht="15">
      <c r="A372" s="58"/>
      <c r="B372" s="55"/>
      <c r="C372" s="56"/>
    </row>
    <row r="373" spans="1:3" ht="15">
      <c r="A373" s="58"/>
      <c r="B373" s="55"/>
      <c r="C373" s="56"/>
    </row>
    <row r="374" spans="1:3" ht="15">
      <c r="A374" s="58"/>
      <c r="B374" s="55"/>
      <c r="C374" s="56"/>
    </row>
    <row r="375" spans="1:3" ht="15">
      <c r="A375" s="58"/>
      <c r="B375" s="55"/>
      <c r="C375" s="56"/>
    </row>
    <row r="376" spans="1:3" ht="15">
      <c r="A376" s="58"/>
      <c r="B376" s="55"/>
      <c r="C376" s="56"/>
    </row>
    <row r="377" spans="1:3" ht="15">
      <c r="A377" s="58"/>
      <c r="B377" s="55"/>
      <c r="C377" s="56"/>
    </row>
    <row r="378" spans="1:3" ht="15">
      <c r="A378" s="58"/>
      <c r="B378" s="55"/>
      <c r="C378" s="56"/>
    </row>
    <row r="379" spans="1:3" ht="15">
      <c r="A379" s="58"/>
      <c r="B379" s="55"/>
      <c r="C379" s="56"/>
    </row>
    <row r="380" spans="1:3" ht="15">
      <c r="A380" s="58"/>
      <c r="B380" s="55"/>
      <c r="C380" s="56"/>
    </row>
    <row r="381" spans="1:3" ht="15">
      <c r="A381" s="58"/>
      <c r="B381" s="55"/>
      <c r="C381" s="56"/>
    </row>
    <row r="382" spans="1:3" ht="15">
      <c r="A382" s="58"/>
      <c r="B382" s="55"/>
      <c r="C382" s="56"/>
    </row>
    <row r="383" spans="1:3" ht="15">
      <c r="A383" s="58"/>
      <c r="B383" s="55"/>
      <c r="C383" s="56"/>
    </row>
    <row r="384" spans="1:3" ht="15">
      <c r="A384" s="58"/>
      <c r="B384" s="55"/>
      <c r="C384" s="56"/>
    </row>
    <row r="385" spans="1:3" ht="15">
      <c r="A385" s="58"/>
      <c r="B385" s="55"/>
      <c r="C385" s="56"/>
    </row>
    <row r="386" spans="1:3" ht="15.75" thickBot="1">
      <c r="A386" s="59"/>
      <c r="B386" s="53"/>
      <c r="C386" s="54"/>
    </row>
    <row r="387" spans="1:3" ht="15.75" thickBot="1">
      <c r="A387" s="60"/>
      <c r="B387" s="51"/>
      <c r="C387" s="52"/>
    </row>
    <row r="388" spans="1:3" ht="15.75" thickBot="1">
      <c r="A388" s="60"/>
      <c r="B388" s="51"/>
      <c r="C388" s="52"/>
    </row>
    <row r="389" spans="1:3" ht="15.75" thickBot="1">
      <c r="A389" s="60"/>
      <c r="B389" s="51"/>
      <c r="C389" s="52"/>
    </row>
    <row r="390" spans="1:3" ht="15.75" thickBot="1">
      <c r="A390" s="60"/>
      <c r="B390" s="51"/>
      <c r="C390" s="52"/>
    </row>
    <row r="391" spans="1:3" ht="15.75" thickBot="1">
      <c r="A391" s="60"/>
      <c r="B391" s="51"/>
      <c r="C391" s="52"/>
    </row>
    <row r="392" spans="1:3" ht="15.75" thickBot="1">
      <c r="A392" s="60"/>
      <c r="B392" s="51"/>
      <c r="C392" s="52"/>
    </row>
    <row r="393" spans="1:3" ht="15.75" thickBot="1">
      <c r="A393" s="60"/>
      <c r="B393" s="51"/>
      <c r="C393" s="52"/>
    </row>
    <row r="394" spans="1:3" ht="15.75" thickBot="1">
      <c r="A394" s="60"/>
      <c r="B394" s="51"/>
      <c r="C394" s="52"/>
    </row>
    <row r="395" spans="1:3" ht="15.75" thickBot="1">
      <c r="A395" s="60"/>
      <c r="B395" s="51"/>
      <c r="C395" s="52"/>
    </row>
    <row r="396" spans="1:3" ht="15.75" thickBot="1">
      <c r="A396" s="60"/>
      <c r="B396" s="51"/>
      <c r="C396" s="52"/>
    </row>
    <row r="397" spans="1:3" ht="15.75" thickBot="1">
      <c r="A397" s="60"/>
      <c r="B397" s="51"/>
      <c r="C397" s="52"/>
    </row>
    <row r="398" spans="1:3" ht="15.75" thickBot="1">
      <c r="A398" s="60"/>
      <c r="B398" s="51"/>
      <c r="C398" s="52"/>
    </row>
    <row r="399" spans="1:3" ht="15.75" thickBot="1">
      <c r="A399" s="60"/>
      <c r="B399" s="51"/>
      <c r="C399" s="52"/>
    </row>
    <row r="400" spans="1:3" ht="15.75" thickBot="1">
      <c r="A400" s="60"/>
      <c r="B400" s="51"/>
      <c r="C400" s="52"/>
    </row>
    <row r="401" spans="1:3" ht="15.75" thickBot="1">
      <c r="A401" s="60"/>
      <c r="B401" s="51"/>
      <c r="C401" s="52"/>
    </row>
    <row r="402" spans="1:3" ht="15.75" thickBot="1">
      <c r="A402" s="60"/>
      <c r="B402" s="51"/>
      <c r="C402" s="52"/>
    </row>
    <row r="403" spans="1:3" ht="15.75" thickBot="1">
      <c r="A403" s="60"/>
      <c r="B403" s="51"/>
      <c r="C403" s="52"/>
    </row>
    <row r="404" spans="1:3" ht="15.75" thickBot="1">
      <c r="A404" s="60"/>
      <c r="B404" s="51"/>
      <c r="C404" s="52"/>
    </row>
    <row r="405" spans="1:3" ht="15.75" thickBot="1">
      <c r="A405" s="60"/>
      <c r="B405" s="51"/>
      <c r="C405" s="52"/>
    </row>
    <row r="406" spans="1:3" ht="15.75" thickBot="1">
      <c r="A406" s="60"/>
      <c r="B406" s="51"/>
      <c r="C406" s="52"/>
    </row>
    <row r="407" spans="1:3" ht="15.75" thickBot="1">
      <c r="A407" s="60"/>
      <c r="B407" s="51"/>
      <c r="C407" s="52"/>
    </row>
    <row r="408" spans="1:3" ht="15.75" thickBot="1">
      <c r="A408" s="60"/>
      <c r="B408" s="51"/>
      <c r="C408" s="52"/>
    </row>
    <row r="409" spans="1:3" ht="15.75" thickBot="1">
      <c r="A409" s="60"/>
      <c r="B409" s="51"/>
      <c r="C409" s="52"/>
    </row>
    <row r="410" spans="1:3" ht="15.75" thickBot="1">
      <c r="A410" s="60"/>
      <c r="B410" s="51"/>
      <c r="C410" s="52"/>
    </row>
    <row r="411" spans="1:3" ht="15.75" thickBot="1">
      <c r="A411" s="60"/>
      <c r="B411" s="51"/>
      <c r="C411" s="52"/>
    </row>
    <row r="412" spans="1:3" ht="15.75" thickBot="1">
      <c r="A412" s="60"/>
      <c r="B412" s="51"/>
      <c r="C412" s="52"/>
    </row>
    <row r="413" spans="1:3" ht="15.75" thickBot="1">
      <c r="A413" s="60"/>
      <c r="B413" s="51"/>
      <c r="C413" s="52"/>
    </row>
    <row r="414" spans="1:3" ht="15.75" thickBot="1">
      <c r="A414" s="60"/>
      <c r="B414" s="51"/>
      <c r="C414" s="52"/>
    </row>
    <row r="415" spans="1:3" ht="15.75" thickBot="1">
      <c r="A415" s="60"/>
      <c r="B415" s="51"/>
      <c r="C415" s="52"/>
    </row>
    <row r="416" spans="1:3" ht="15.75" thickBot="1">
      <c r="A416" s="60"/>
      <c r="B416" s="51"/>
      <c r="C416" s="52"/>
    </row>
    <row r="417" spans="1:3" ht="15.75" thickBot="1">
      <c r="A417" s="60"/>
      <c r="B417" s="51"/>
      <c r="C417" s="52"/>
    </row>
    <row r="418" spans="1:3" ht="15.75" thickBot="1">
      <c r="A418" s="60"/>
      <c r="B418" s="51"/>
      <c r="C418" s="52"/>
    </row>
    <row r="419" spans="1:3" ht="15.75" thickBot="1">
      <c r="A419" s="60"/>
      <c r="B419" s="51"/>
      <c r="C419" s="52"/>
    </row>
    <row r="420" spans="1:3" ht="15.75" thickBot="1">
      <c r="A420" s="60"/>
      <c r="B420" s="51"/>
      <c r="C420" s="52"/>
    </row>
    <row r="421" spans="1:3" ht="15.75" thickBot="1">
      <c r="A421" s="60"/>
      <c r="B421" s="51"/>
      <c r="C421" s="52"/>
    </row>
    <row r="422" spans="1:3" ht="15.75" thickBot="1">
      <c r="A422" s="60"/>
      <c r="B422" s="51"/>
      <c r="C422" s="52"/>
    </row>
    <row r="423" spans="1:3" ht="15.75" thickBot="1">
      <c r="A423" s="60"/>
      <c r="B423" s="51"/>
      <c r="C423" s="52"/>
    </row>
    <row r="424" spans="1:3" ht="15.75" thickBot="1">
      <c r="A424" s="60"/>
      <c r="B424" s="51"/>
      <c r="C424" s="52"/>
    </row>
    <row r="425" spans="1:3" ht="15.75" thickBot="1">
      <c r="A425" s="60"/>
      <c r="B425" s="51"/>
      <c r="C425" s="52"/>
    </row>
    <row r="426" spans="1:3" ht="15.75" thickBot="1">
      <c r="A426" s="60"/>
      <c r="B426" s="51"/>
      <c r="C426" s="52"/>
    </row>
    <row r="427" spans="1:3" ht="15.75" thickBot="1">
      <c r="A427" s="60"/>
      <c r="B427" s="51"/>
      <c r="C427" s="52"/>
    </row>
    <row r="428" spans="1:3" ht="15.75" thickBot="1">
      <c r="A428" s="60"/>
      <c r="B428" s="51"/>
      <c r="C428" s="52"/>
    </row>
    <row r="429" spans="1:3" ht="15.75" thickBot="1">
      <c r="A429" s="60"/>
      <c r="B429" s="51"/>
      <c r="C429" s="52"/>
    </row>
    <row r="430" spans="1:3" ht="15.75" thickBot="1">
      <c r="A430" s="60"/>
      <c r="B430" s="51"/>
      <c r="C430" s="52"/>
    </row>
    <row r="431" spans="1:3" ht="15.75" thickBot="1">
      <c r="A431" s="60"/>
      <c r="B431" s="51"/>
      <c r="C431" s="52"/>
    </row>
    <row r="432" spans="1:3" ht="15.75" thickBot="1">
      <c r="A432" s="60"/>
      <c r="B432" s="51"/>
      <c r="C432" s="52"/>
    </row>
    <row r="433" spans="1:3" ht="15.75" thickBot="1">
      <c r="A433" s="60"/>
      <c r="B433" s="51"/>
      <c r="C433" s="52"/>
    </row>
    <row r="434" spans="1:3" ht="15.75" thickBot="1">
      <c r="A434" s="60"/>
      <c r="B434" s="51"/>
      <c r="C434" s="52"/>
    </row>
    <row r="435" spans="1:3" ht="15.75" thickBot="1">
      <c r="A435" s="60"/>
      <c r="B435" s="51"/>
      <c r="C435" s="52"/>
    </row>
    <row r="436" spans="1:3" ht="15.75" thickBot="1">
      <c r="A436" s="60"/>
      <c r="B436" s="51"/>
      <c r="C436" s="52"/>
    </row>
    <row r="437" spans="1:3" ht="15.75" thickBot="1">
      <c r="A437" s="60"/>
      <c r="B437" s="51"/>
      <c r="C437" s="52"/>
    </row>
    <row r="438" spans="1:3" ht="15.75" thickBot="1">
      <c r="A438" s="60"/>
      <c r="B438" s="51"/>
      <c r="C438" s="52"/>
    </row>
    <row r="439" spans="1:3" ht="15.75" thickBot="1">
      <c r="A439" s="60"/>
      <c r="B439" s="51"/>
      <c r="C439" s="52"/>
    </row>
    <row r="440" spans="1:3" ht="15.75" thickBot="1">
      <c r="A440" s="60"/>
      <c r="B440" s="51"/>
      <c r="C440" s="52"/>
    </row>
    <row r="441" spans="1:3" ht="15.75" thickBot="1">
      <c r="A441" s="60"/>
      <c r="B441" s="51"/>
      <c r="C441" s="52"/>
    </row>
    <row r="442" spans="1:3" ht="15.75" thickBot="1">
      <c r="A442" s="60"/>
      <c r="B442" s="51"/>
      <c r="C442" s="52"/>
    </row>
    <row r="443" spans="1:3" ht="15.75" thickBot="1">
      <c r="A443" s="60"/>
      <c r="B443" s="51"/>
      <c r="C443" s="52"/>
    </row>
    <row r="444" spans="1:3" ht="15.75" thickBot="1">
      <c r="A444" s="60"/>
      <c r="B444" s="51"/>
      <c r="C444" s="52"/>
    </row>
    <row r="445" spans="1:3" ht="15.75" thickBot="1">
      <c r="A445" s="60"/>
      <c r="B445" s="51"/>
      <c r="C445" s="52"/>
    </row>
    <row r="446" spans="1:3" ht="15.75" thickBot="1">
      <c r="A446" s="60"/>
      <c r="B446" s="51"/>
      <c r="C446" s="52"/>
    </row>
    <row r="447" spans="1:3" ht="15.75" thickBot="1">
      <c r="A447" s="60"/>
      <c r="B447" s="51"/>
      <c r="C447" s="52"/>
    </row>
    <row r="448" spans="1:3" ht="15.75" thickBot="1">
      <c r="A448" s="60"/>
      <c r="B448" s="51"/>
      <c r="C448" s="52"/>
    </row>
    <row r="449" spans="1:3" ht="15.75" thickBot="1">
      <c r="A449" s="60"/>
      <c r="B449" s="51"/>
      <c r="C449" s="52"/>
    </row>
    <row r="450" spans="1:3" ht="15.75" thickBot="1">
      <c r="A450" s="60"/>
      <c r="B450" s="51"/>
      <c r="C450" s="52"/>
    </row>
    <row r="451" spans="1:3" ht="15.75" thickBot="1">
      <c r="A451" s="60"/>
      <c r="B451" s="51"/>
      <c r="C451" s="52"/>
    </row>
    <row r="452" spans="1:3" ht="15.75" thickBot="1">
      <c r="A452" s="60"/>
      <c r="B452" s="51"/>
      <c r="C452" s="52"/>
    </row>
    <row r="453" spans="1:3" ht="15.75" thickBot="1">
      <c r="A453" s="60"/>
      <c r="B453" s="51"/>
      <c r="C453" s="52"/>
    </row>
    <row r="454" spans="1:3" ht="15.75" thickBot="1">
      <c r="A454" s="60"/>
      <c r="B454" s="51"/>
      <c r="C454" s="52"/>
    </row>
    <row r="455" spans="1:3" ht="15.75" thickBot="1">
      <c r="A455" s="60"/>
      <c r="B455" s="51"/>
      <c r="C455" s="52"/>
    </row>
    <row r="456" spans="1:3" ht="15.75" thickBot="1">
      <c r="A456" s="60"/>
      <c r="B456" s="51"/>
      <c r="C456" s="52"/>
    </row>
    <row r="457" spans="1:3" ht="15.75" thickBot="1">
      <c r="A457" s="60"/>
      <c r="B457" s="51"/>
      <c r="C457" s="52"/>
    </row>
    <row r="458" spans="1:3" ht="15.75" thickBot="1">
      <c r="A458" s="60"/>
      <c r="B458" s="51"/>
      <c r="C458" s="52"/>
    </row>
    <row r="459" spans="1:3" ht="15.75" thickBot="1">
      <c r="A459" s="60"/>
      <c r="B459" s="51"/>
      <c r="C459" s="52"/>
    </row>
    <row r="460" spans="1:3" ht="15.75" thickBot="1">
      <c r="A460" s="60"/>
      <c r="B460" s="51"/>
      <c r="C460" s="52"/>
    </row>
    <row r="461" spans="1:3" ht="15.75" thickBot="1">
      <c r="A461" s="60"/>
      <c r="B461" s="51"/>
      <c r="C461" s="52"/>
    </row>
    <row r="462" spans="1:3" ht="15.75" thickBot="1">
      <c r="A462" s="60"/>
      <c r="B462" s="51"/>
      <c r="C462" s="52"/>
    </row>
    <row r="463" spans="1:3" ht="15.75" thickBot="1">
      <c r="A463" s="60"/>
      <c r="B463" s="51"/>
      <c r="C463" s="52"/>
    </row>
    <row r="464" spans="1:3" ht="15.75" thickBot="1">
      <c r="A464" s="60"/>
      <c r="B464" s="51"/>
      <c r="C464" s="52"/>
    </row>
    <row r="465" spans="1:3" ht="15.75" thickBot="1">
      <c r="A465" s="60"/>
      <c r="B465" s="51"/>
      <c r="C465" s="52"/>
    </row>
    <row r="466" spans="1:3" ht="15.75" thickBot="1">
      <c r="A466" s="60"/>
      <c r="B466" s="51"/>
      <c r="C466" s="52"/>
    </row>
    <row r="467" spans="1:3" ht="15.75" thickBot="1">
      <c r="A467" s="60"/>
      <c r="B467" s="51"/>
      <c r="C467" s="52"/>
    </row>
    <row r="468" spans="1:3" ht="15.75" thickBot="1">
      <c r="A468" s="60"/>
      <c r="B468" s="51"/>
      <c r="C468" s="52"/>
    </row>
    <row r="469" spans="1:3" ht="15.75" thickBot="1">
      <c r="A469" s="60"/>
      <c r="B469" s="51"/>
      <c r="C469" s="52"/>
    </row>
    <row r="470" spans="1:3" ht="15.75" thickBot="1">
      <c r="A470" s="60"/>
      <c r="B470" s="51"/>
      <c r="C470" s="52"/>
    </row>
    <row r="471" spans="1:3" ht="15.75" thickBot="1">
      <c r="A471" s="60"/>
      <c r="B471" s="51"/>
      <c r="C471" s="52"/>
    </row>
    <row r="472" spans="1:3" ht="15.75" thickBot="1">
      <c r="A472" s="60"/>
      <c r="B472" s="51"/>
      <c r="C472" s="52"/>
    </row>
    <row r="473" spans="1:3" ht="15.75" thickBot="1">
      <c r="A473" s="60"/>
      <c r="B473" s="51"/>
      <c r="C473" s="52"/>
    </row>
    <row r="474" spans="1:3" ht="15.75" thickBot="1">
      <c r="A474" s="60"/>
      <c r="B474" s="51"/>
      <c r="C474" s="52"/>
    </row>
    <row r="475" spans="1:3" ht="15.75" thickBot="1">
      <c r="A475" s="60"/>
      <c r="B475" s="51"/>
      <c r="C475" s="52"/>
    </row>
    <row r="476" spans="1:3" ht="15.75" thickBot="1">
      <c r="A476" s="60"/>
      <c r="B476" s="51"/>
      <c r="C476" s="52"/>
    </row>
    <row r="477" spans="1:3" ht="15.75" thickBot="1">
      <c r="A477" s="60"/>
      <c r="B477" s="51"/>
      <c r="C477" s="52"/>
    </row>
    <row r="478" spans="1:3" ht="15.75" thickBot="1">
      <c r="A478" s="60"/>
      <c r="B478" s="51"/>
      <c r="C478" s="52"/>
    </row>
    <row r="479" spans="1:3" ht="15.75" thickBot="1">
      <c r="A479" s="60"/>
      <c r="B479" s="51"/>
      <c r="C479" s="52"/>
    </row>
    <row r="480" spans="1:3" ht="15.75" thickBot="1">
      <c r="A480" s="60"/>
      <c r="B480" s="51"/>
      <c r="C480" s="52"/>
    </row>
    <row r="481" spans="1:3" ht="15.75" thickBot="1">
      <c r="A481" s="60"/>
      <c r="B481" s="51"/>
      <c r="C481" s="52"/>
    </row>
    <row r="482" spans="1:3" ht="15.75" thickBot="1">
      <c r="A482" s="60"/>
      <c r="B482" s="51"/>
      <c r="C482" s="52"/>
    </row>
    <row r="483" spans="1:3" ht="15.75" thickBot="1">
      <c r="A483" s="60"/>
      <c r="B483" s="51"/>
      <c r="C483" s="52"/>
    </row>
    <row r="484" spans="1:3" ht="15.75" thickBot="1">
      <c r="A484" s="60"/>
      <c r="B484" s="51"/>
      <c r="C484" s="52"/>
    </row>
    <row r="485" spans="1:3" ht="15.75" thickBot="1">
      <c r="A485" s="60"/>
      <c r="B485" s="51"/>
      <c r="C485" s="52"/>
    </row>
    <row r="486" spans="1:3" ht="15.75" thickBot="1">
      <c r="A486" s="60"/>
      <c r="B486" s="51"/>
      <c r="C486" s="52"/>
    </row>
    <row r="487" spans="1:3" ht="15.75" thickBot="1">
      <c r="A487" s="60"/>
      <c r="B487" s="51"/>
      <c r="C487" s="52"/>
    </row>
    <row r="488" spans="1:3" ht="15.75" thickBot="1">
      <c r="A488" s="60"/>
      <c r="B488" s="51"/>
      <c r="C488" s="52"/>
    </row>
    <row r="489" spans="1:3" ht="15.75" thickBot="1">
      <c r="A489" s="60"/>
      <c r="B489" s="51"/>
      <c r="C489" s="52"/>
    </row>
    <row r="490" spans="1:3" ht="15.75" thickBot="1">
      <c r="A490" s="60"/>
      <c r="B490" s="51"/>
      <c r="C490" s="52"/>
    </row>
    <row r="491" spans="1:3" ht="15.75" thickBot="1">
      <c r="A491" s="60"/>
      <c r="B491" s="51"/>
      <c r="C491" s="52"/>
    </row>
    <row r="492" spans="1:3" ht="15.75" thickBot="1">
      <c r="A492" s="60"/>
      <c r="B492" s="51"/>
      <c r="C492" s="52"/>
    </row>
    <row r="493" spans="1:3" ht="15.75" thickBot="1">
      <c r="A493" s="60"/>
      <c r="B493" s="51"/>
      <c r="C493" s="52"/>
    </row>
    <row r="494" spans="1:3" ht="15.75" thickBot="1">
      <c r="A494" s="60"/>
      <c r="B494" s="51"/>
      <c r="C494" s="52"/>
    </row>
    <row r="495" spans="1:3" ht="15.75" thickBot="1">
      <c r="A495" s="60"/>
      <c r="B495" s="51"/>
      <c r="C495" s="52"/>
    </row>
    <row r="496" spans="1:3" ht="15.75" thickBot="1">
      <c r="A496" s="60"/>
      <c r="B496" s="51"/>
      <c r="C496" s="52"/>
    </row>
    <row r="497" spans="1:3" ht="15.75" thickBot="1">
      <c r="A497" s="60"/>
      <c r="B497" s="51"/>
      <c r="C497" s="52"/>
    </row>
    <row r="498" spans="1:3" ht="15.75" thickBot="1">
      <c r="A498" s="60"/>
      <c r="B498" s="51"/>
      <c r="C498" s="52"/>
    </row>
    <row r="499" spans="1:3" ht="15.75" thickBot="1">
      <c r="A499" s="60"/>
      <c r="B499" s="51"/>
      <c r="C499" s="52"/>
    </row>
    <row r="500" spans="1:3" ht="15.75" thickBot="1">
      <c r="A500" s="60"/>
      <c r="B500" s="51"/>
      <c r="C500" s="52"/>
    </row>
    <row r="501" spans="1:3" ht="15.75" thickBot="1">
      <c r="A501" s="60"/>
      <c r="B501" s="51"/>
      <c r="C501" s="52"/>
    </row>
    <row r="502" spans="1:3" ht="15.75" thickBot="1">
      <c r="A502" s="60"/>
      <c r="B502" s="51"/>
      <c r="C502" s="52"/>
    </row>
    <row r="503" spans="1:3" ht="15.75" thickBot="1">
      <c r="A503" s="60"/>
      <c r="B503" s="51"/>
      <c r="C503" s="52"/>
    </row>
    <row r="504" spans="1:3" ht="15.75" thickBot="1">
      <c r="A504" s="60"/>
      <c r="B504" s="51"/>
      <c r="C504" s="52"/>
    </row>
    <row r="505" spans="1:3" ht="15.75" thickBot="1">
      <c r="A505" s="60"/>
      <c r="B505" s="51"/>
      <c r="C505" s="52"/>
    </row>
    <row r="506" spans="1:3" ht="15.75" thickBot="1">
      <c r="A506" s="60"/>
      <c r="B506" s="51"/>
      <c r="C506" s="52"/>
    </row>
    <row r="507" spans="1:3" ht="15.75" thickBot="1">
      <c r="A507" s="60"/>
      <c r="B507" s="51"/>
      <c r="C507" s="52"/>
    </row>
    <row r="508" spans="1:3" ht="15.75" thickBot="1">
      <c r="A508" s="60"/>
      <c r="B508" s="51"/>
      <c r="C508" s="52"/>
    </row>
    <row r="509" spans="1:3" ht="15.75" thickBot="1">
      <c r="A509" s="60"/>
      <c r="B509" s="51"/>
      <c r="C509" s="52"/>
    </row>
    <row r="510" spans="1:3" ht="15.75" thickBot="1">
      <c r="A510" s="60"/>
      <c r="B510" s="51"/>
      <c r="C510" s="52"/>
    </row>
    <row r="511" spans="1:3" ht="15.75" thickBot="1">
      <c r="A511" s="60"/>
      <c r="B511" s="51"/>
      <c r="C511" s="52"/>
    </row>
    <row r="512" spans="1:3" ht="15.75" thickBot="1">
      <c r="A512" s="60"/>
      <c r="B512" s="51"/>
      <c r="C512" s="52"/>
    </row>
    <row r="513" spans="1:3" ht="15.75" thickBot="1">
      <c r="A513" s="60"/>
      <c r="B513" s="51"/>
      <c r="C513" s="52"/>
    </row>
    <row r="514" spans="1:3" ht="15.75" thickBot="1">
      <c r="A514" s="60"/>
      <c r="B514" s="51"/>
      <c r="C514" s="52"/>
    </row>
    <row r="515" spans="1:3" ht="15.75" thickBot="1">
      <c r="A515" s="60"/>
      <c r="B515" s="51"/>
      <c r="C515" s="52"/>
    </row>
    <row r="516" spans="1:3" ht="15.75" thickBot="1">
      <c r="A516" s="60"/>
      <c r="B516" s="51"/>
      <c r="C516" s="52"/>
    </row>
    <row r="517" spans="1:3" ht="15.75" thickBot="1">
      <c r="A517" s="60"/>
      <c r="B517" s="51"/>
      <c r="C517" s="52"/>
    </row>
    <row r="518" spans="1:3" ht="15.75" thickBot="1">
      <c r="A518" s="60"/>
      <c r="B518" s="51"/>
      <c r="C518" s="52"/>
    </row>
    <row r="519" spans="1:3" ht="15.75" thickBot="1">
      <c r="A519" s="60"/>
      <c r="B519" s="51"/>
      <c r="C519" s="52"/>
    </row>
    <row r="520" spans="1:3" ht="15.75" thickBot="1">
      <c r="A520" s="60"/>
      <c r="B520" s="51"/>
      <c r="C520" s="52"/>
    </row>
    <row r="521" spans="1:3" ht="15.75" thickBot="1">
      <c r="A521" s="60"/>
      <c r="B521" s="51"/>
      <c r="C521" s="52"/>
    </row>
    <row r="522" spans="1:3" ht="15.75" thickBot="1">
      <c r="A522" s="60"/>
      <c r="B522" s="51"/>
      <c r="C522" s="52"/>
    </row>
    <row r="523" spans="1:3" ht="15.75" thickBot="1">
      <c r="A523" s="60"/>
      <c r="B523" s="51"/>
      <c r="C523" s="52"/>
    </row>
    <row r="524" spans="1:3" ht="15.75" thickBot="1">
      <c r="A524" s="60"/>
      <c r="B524" s="51"/>
      <c r="C524" s="52"/>
    </row>
    <row r="525" spans="1:3" ht="15.75" thickBot="1">
      <c r="A525" s="60"/>
      <c r="B525" s="51"/>
      <c r="C525" s="52"/>
    </row>
    <row r="526" spans="1:3" ht="15.75" thickBot="1">
      <c r="A526" s="60"/>
      <c r="B526" s="51"/>
      <c r="C526" s="52"/>
    </row>
    <row r="527" spans="1:3" ht="15.75" thickBot="1">
      <c r="A527" s="60"/>
      <c r="B527" s="51"/>
      <c r="C527" s="52"/>
    </row>
    <row r="528" spans="1:3" ht="15.75" thickBot="1">
      <c r="A528" s="60"/>
      <c r="B528" s="51"/>
      <c r="C528" s="52"/>
    </row>
    <row r="529" spans="1:3" ht="15.75" thickBot="1">
      <c r="A529" s="60"/>
      <c r="B529" s="51"/>
      <c r="C529" s="52"/>
    </row>
    <row r="530" spans="1:3" ht="15.75" thickBot="1">
      <c r="A530" s="60"/>
      <c r="B530" s="51"/>
      <c r="C530" s="52"/>
    </row>
    <row r="531" spans="1:3" ht="15.75" thickBot="1">
      <c r="A531" s="60"/>
      <c r="B531" s="51"/>
      <c r="C531" s="52"/>
    </row>
    <row r="532" spans="1:3" ht="15.75" thickBot="1">
      <c r="A532" s="60"/>
      <c r="B532" s="51"/>
      <c r="C532" s="52"/>
    </row>
    <row r="533" spans="1:3" ht="15.75" thickBot="1">
      <c r="A533" s="60"/>
      <c r="B533" s="51"/>
      <c r="C533" s="52"/>
    </row>
    <row r="534" spans="1:3" ht="15.75" thickBot="1">
      <c r="A534" s="60"/>
      <c r="B534" s="51"/>
      <c r="C534" s="52"/>
    </row>
    <row r="535" spans="1:3" ht="15.75" thickBot="1">
      <c r="A535" s="60"/>
      <c r="B535" s="51"/>
      <c r="C535" s="52"/>
    </row>
    <row r="536" spans="1:3" ht="15.75" thickBot="1">
      <c r="A536" s="60"/>
      <c r="B536" s="51"/>
      <c r="C536" s="52"/>
    </row>
    <row r="537" spans="1:3" ht="15.75" thickBot="1">
      <c r="A537" s="60"/>
      <c r="B537" s="51"/>
      <c r="C537" s="52"/>
    </row>
  </sheetData>
  <sortState xmlns:xlrd2="http://schemas.microsoft.com/office/spreadsheetml/2017/richdata2" ref="A2:E537">
    <sortCondition ref="A6:A537"/>
  </sortState>
  <conditionalFormatting sqref="A2:E67">
    <cfRule type="expression" dxfId="0" priority="1">
      <formula>AND($E2&gt;0,$E2&lt;1)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2067-13C3-45F4-B011-126F26B9E5CE}">
  <dimension ref="A1:C14"/>
  <sheetViews>
    <sheetView workbookViewId="0">
      <selection activeCell="F43" sqref="F43"/>
    </sheetView>
  </sheetViews>
  <sheetFormatPr defaultRowHeight="12.75"/>
  <cols>
    <col min="1" max="1" width="9.7109375" bestFit="1" customWidth="1"/>
  </cols>
  <sheetData>
    <row r="1" spans="1:3">
      <c r="A1" s="7">
        <v>2022</v>
      </c>
      <c r="B1" s="7" t="s">
        <v>64</v>
      </c>
      <c r="C1" s="7" t="s">
        <v>31</v>
      </c>
    </row>
    <row r="2" spans="1:3">
      <c r="A2" s="8" t="s">
        <v>32</v>
      </c>
    </row>
    <row r="3" spans="1:3">
      <c r="A3" s="8" t="s">
        <v>33</v>
      </c>
      <c r="B3" s="2">
        <v>743.75</v>
      </c>
    </row>
    <row r="4" spans="1:3">
      <c r="A4" s="8" t="s">
        <v>34</v>
      </c>
      <c r="B4" s="2">
        <v>725.9</v>
      </c>
    </row>
    <row r="5" spans="1:3">
      <c r="A5" s="8" t="s">
        <v>35</v>
      </c>
      <c r="B5" s="2">
        <v>743.75</v>
      </c>
    </row>
    <row r="6" spans="1:3">
      <c r="A6" s="8" t="s">
        <v>43</v>
      </c>
      <c r="B6" s="2">
        <v>743.75</v>
      </c>
    </row>
    <row r="7" spans="1:3">
      <c r="A7" s="8" t="s">
        <v>36</v>
      </c>
      <c r="B7">
        <v>741.77</v>
      </c>
    </row>
    <row r="8" spans="1:3">
      <c r="A8" s="8" t="s">
        <v>37</v>
      </c>
      <c r="B8" s="2">
        <v>747.72</v>
      </c>
    </row>
    <row r="9" spans="1:3">
      <c r="A9" s="8" t="s">
        <v>38</v>
      </c>
      <c r="B9">
        <v>805.23</v>
      </c>
    </row>
    <row r="10" spans="1:3">
      <c r="A10" s="8" t="s">
        <v>39</v>
      </c>
      <c r="B10">
        <v>866.72</v>
      </c>
    </row>
    <row r="11" spans="1:3">
      <c r="A11" s="8" t="s">
        <v>40</v>
      </c>
      <c r="B11" s="2">
        <v>989.68</v>
      </c>
    </row>
    <row r="12" spans="1:3">
      <c r="A12" s="8" t="s">
        <v>41</v>
      </c>
    </row>
    <row r="13" spans="1:3">
      <c r="A13" s="8" t="s">
        <v>42</v>
      </c>
      <c r="B13" s="2">
        <v>1049.18</v>
      </c>
    </row>
    <row r="14" spans="1:3">
      <c r="A14" s="9" t="s">
        <v>4</v>
      </c>
      <c r="B14" s="10">
        <f>SUM(B3:B13)</f>
        <v>8157.4500000000016</v>
      </c>
      <c r="C14" s="9">
        <f>SUM(C3:C13)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Maandsamenvatting</vt:lpstr>
      <vt:lpstr>Rittenplanning</vt:lpstr>
      <vt:lpstr>Transacties</vt:lpstr>
      <vt:lpstr>Kosten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2026-04-15T16:05:53Z</dcterms:created>
  <dcterms:modified xsi:type="dcterms:W3CDTF">2026-09-30T06:41:15Z</dcterms:modified>
</cp:coreProperties>
</file>